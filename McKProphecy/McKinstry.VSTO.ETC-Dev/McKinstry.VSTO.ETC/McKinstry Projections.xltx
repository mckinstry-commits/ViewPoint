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eoG\Source\Workspaces\ViewPoint\McKinstry.VSTO.ETC\"/>
    </mc:Choice>
  </mc:AlternateContent>
  <bookViews>
    <workbookView xWindow="0" yWindow="0" windowWidth="22185" windowHeight="7410" tabRatio="588" firstSheet="1" activeTab="1"/>
  </bookViews>
  <sheets>
    <sheet name="GMAX" sheetId="2" state="hidden" r:id="rId1"/>
    <sheet name="Control" sheetId="1" r:id="rId2"/>
  </sheets>
  <definedNames>
    <definedName name="ActualStaffBurden">GMAX!$B$4</definedName>
    <definedName name="BandO">GMAX!$E$4</definedName>
    <definedName name="BaseFee">GMAX!$B$7</definedName>
    <definedName name="Bond">GMAX!$E$8</definedName>
    <definedName name="ContractActualFieldBurden">GMAX!$B$5</definedName>
    <definedName name="ContractLastPost">Control!$D$16</definedName>
    <definedName name="ContractLastSave">Control!$C$16</definedName>
    <definedName name="ContractName">Control!$B$16</definedName>
    <definedName name="ContractNumber">Control!$A$16</definedName>
    <definedName name="ContractShopBurden">GMAX!$B$6</definedName>
    <definedName name="ContractUserName">Control!$E$16</definedName>
    <definedName name="CostBatchId">Control!$A$12</definedName>
    <definedName name="CostJectMonth">Control!$B$12</definedName>
    <definedName name="GLI">GMAX!$E$5</definedName>
    <definedName name="ProjCost">GMAX!$B$25</definedName>
    <definedName name="ProjHours">GMAX!$B$26</definedName>
    <definedName name="RevBatchId">Control!$A$10</definedName>
    <definedName name="RevJectMonth">Control!$B$10</definedName>
    <definedName name="SmallTools">GMAX!$E$6</definedName>
    <definedName name="TB_Field">GMAX!$C$18</definedName>
    <definedName name="TB_Shop">GMAX!$D$18</definedName>
    <definedName name="TB_Staff">GMAX!$B$18</definedName>
    <definedName name="TimeLastRefresh">Control!$B$6</definedName>
    <definedName name="TimeOpening">Control!$B$5</definedName>
    <definedName name="UF_Field">GMAX!$C$19</definedName>
    <definedName name="UF_Shop">GMAX!$D$19</definedName>
    <definedName name="ViewpointLogin">Control!$B$4</definedName>
    <definedName name="Warranty">GMAX!$E$7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1" i="2" l="1"/>
  <c r="B44" i="2" l="1"/>
  <c r="E45" i="2" l="1"/>
  <c r="E37" i="2"/>
  <c r="B20" i="2" l="1"/>
  <c r="C20" i="2"/>
  <c r="D20" i="2"/>
  <c r="C35" i="2" s="1"/>
  <c r="B21" i="2"/>
  <c r="C21" i="2"/>
  <c r="D21" i="2"/>
  <c r="B33" i="2"/>
  <c r="C33" i="2"/>
  <c r="B34" i="2"/>
  <c r="C34" i="2"/>
  <c r="B35" i="2"/>
  <c r="D38" i="2"/>
  <c r="E38" i="2" s="1"/>
  <c r="C39" i="2"/>
  <c r="D39" i="2" s="1"/>
  <c r="E39" i="2" s="1"/>
  <c r="D44" i="2"/>
  <c r="D45" i="2"/>
  <c r="C22" i="2" l="1"/>
  <c r="D22" i="2"/>
  <c r="B22" i="2"/>
  <c r="D35" i="2"/>
  <c r="E35" i="2" s="1"/>
  <c r="D34" i="2"/>
  <c r="E34" i="2" s="1"/>
  <c r="B47" i="2"/>
  <c r="D33" i="2"/>
  <c r="E33" i="2" l="1"/>
  <c r="B48" i="2" s="1"/>
  <c r="B50" i="2" s="1"/>
  <c r="B49" i="2" l="1"/>
  <c r="B51" i="2" s="1"/>
</calcChain>
</file>

<file path=xl/comments1.xml><?xml version="1.0" encoding="utf-8"?>
<comments xmlns="http://schemas.openxmlformats.org/spreadsheetml/2006/main">
  <authors>
    <author>Genevieve Guinn</author>
    <author>Sarah Cantwell</author>
  </authors>
  <commentList>
    <comment ref="B4" authorId="0" shapeId="0">
      <text>
        <r>
          <rPr>
            <b/>
            <sz val="9"/>
            <color indexed="8"/>
            <rFont val="Calibri"/>
            <family val="2"/>
            <scheme val="minor"/>
          </rPr>
          <t>See Contract Term Notes: (1) and (2)</t>
        </r>
        <r>
          <rPr>
            <sz val="9"/>
            <color indexed="8"/>
            <rFont val="Calibri"/>
            <family val="2"/>
            <scheme val="minor"/>
          </rPr>
          <t xml:space="preserve">
</t>
        </r>
      </text>
    </comment>
    <comment ref="A5" authorId="0" shapeId="0">
      <text>
        <r>
          <rPr>
            <sz val="9"/>
            <color indexed="18"/>
            <rFont val="Calibri"/>
            <family val="2"/>
            <scheme val="minor"/>
          </rPr>
          <t>Total Pre-Burden Labor Cost</t>
        </r>
      </text>
    </comment>
    <comment ref="B5" authorId="0" shapeId="0">
      <text>
        <r>
          <rPr>
            <b/>
            <sz val="9"/>
            <color indexed="8"/>
            <rFont val="Calibri"/>
            <family val="2"/>
            <scheme val="minor"/>
          </rPr>
          <t xml:space="preserve">See Contract Term Notes:  (1) and (2)
</t>
        </r>
      </text>
    </comment>
    <comment ref="B6" authorId="0" shapeId="0">
      <text>
        <r>
          <rPr>
            <b/>
            <sz val="9"/>
            <color indexed="8"/>
            <rFont val="Calibri"/>
            <family val="2"/>
            <scheme val="minor"/>
          </rPr>
          <t>See Contract Term Note: (3)</t>
        </r>
      </text>
    </comment>
    <comment ref="B7" authorId="0" shapeId="0">
      <text>
        <r>
          <rPr>
            <b/>
            <sz val="9"/>
            <color indexed="8"/>
            <rFont val="Calibri"/>
            <family val="2"/>
            <scheme val="minor"/>
          </rPr>
          <t>See Contract Term Note (4)</t>
        </r>
        <r>
          <rPr>
            <sz val="9"/>
            <color indexed="8"/>
            <rFont val="Calibri"/>
            <family val="2"/>
            <scheme val="minor"/>
          </rPr>
          <t xml:space="preserve">
</t>
        </r>
      </text>
    </comment>
    <comment ref="B12" authorId="0" shapeId="0">
      <text>
        <r>
          <rPr>
            <b/>
            <sz val="9"/>
            <color indexed="8"/>
            <rFont val="Calibri"/>
            <family val="2"/>
            <scheme val="minor"/>
          </rPr>
          <t>See Labor Note (5)</t>
        </r>
      </text>
    </comment>
    <comment ref="B16" authorId="0" shapeId="0">
      <text>
        <r>
          <rPr>
            <b/>
            <sz val="9"/>
            <color indexed="8"/>
            <rFont val="Calibri"/>
            <family val="2"/>
            <scheme val="minor"/>
          </rPr>
          <t>See Labor Note (6)</t>
        </r>
        <r>
          <rPr>
            <sz val="9"/>
            <color indexed="8"/>
            <rFont val="Calibri"/>
            <family val="2"/>
            <scheme val="minor"/>
          </rPr>
          <t xml:space="preserve">
</t>
        </r>
      </text>
    </comment>
    <comment ref="D33" authorId="0" shapeId="0">
      <text>
        <r>
          <rPr>
            <b/>
            <sz val="9"/>
            <color indexed="8"/>
            <rFont val="Calibri"/>
            <family val="2"/>
            <scheme val="minor"/>
          </rPr>
          <t>See Comparison &amp; Fee Analysis Note (7)</t>
        </r>
      </text>
    </comment>
    <comment ref="D34" authorId="0" shapeId="0">
      <text>
        <r>
          <rPr>
            <b/>
            <sz val="9"/>
            <color indexed="8"/>
            <rFont val="Calibri"/>
            <family val="2"/>
            <scheme val="minor"/>
          </rPr>
          <t>See Comparison &amp; Fee Analysis Note (8)</t>
        </r>
      </text>
    </comment>
    <comment ref="D35" authorId="0" shapeId="0">
      <text>
        <r>
          <rPr>
            <b/>
            <sz val="9"/>
            <color indexed="8"/>
            <rFont val="Calibri"/>
            <family val="2"/>
            <scheme val="minor"/>
          </rPr>
          <t>See Comparison &amp; Fee Analysis Note (9)</t>
        </r>
      </text>
    </comment>
    <comment ref="D37" authorId="1" shapeId="0">
      <text>
        <r>
          <rPr>
            <b/>
            <sz val="9"/>
            <color indexed="8"/>
            <rFont val="Calibri"/>
            <family val="2"/>
            <scheme val="minor"/>
          </rPr>
          <t>See Comparison &amp; Fee Analysis Note (10)</t>
        </r>
      </text>
    </comment>
    <comment ref="B38" authorId="0" shapeId="0">
      <text>
        <r>
          <rPr>
            <b/>
            <sz val="9"/>
            <color indexed="8"/>
            <rFont val="Calibri"/>
            <family val="2"/>
            <scheme val="minor"/>
          </rPr>
          <t>See Comparison &amp; Fee Analysis Note (11)</t>
        </r>
      </text>
    </comment>
    <comment ref="D40" authorId="0" shapeId="0">
      <text>
        <r>
          <rPr>
            <b/>
            <sz val="9"/>
            <color indexed="8"/>
            <rFont val="Calibri"/>
            <family val="2"/>
            <scheme val="minor"/>
          </rPr>
          <t xml:space="preserve">See Comparison &amp; Fee Analysis Note (12)
</t>
        </r>
      </text>
    </comment>
    <comment ref="D41" authorId="0" shapeId="0">
      <text>
        <r>
          <rPr>
            <b/>
            <sz val="9"/>
            <color indexed="8"/>
            <rFont val="Calibri"/>
            <family val="2"/>
            <scheme val="minor"/>
          </rPr>
          <t>See Comparison &amp; Fee Analysis Note (13)</t>
        </r>
      </text>
    </comment>
    <comment ref="C42" authorId="0" shapeId="0">
      <text>
        <r>
          <rPr>
            <b/>
            <sz val="9"/>
            <color indexed="8"/>
            <rFont val="Calibri"/>
            <family val="2"/>
            <scheme val="minor"/>
          </rPr>
          <t xml:space="preserve">See Comparison &amp; Fee Analysis Note (14)
</t>
        </r>
      </text>
    </comment>
    <comment ref="B44" authorId="0" shapeId="0">
      <text>
        <r>
          <rPr>
            <b/>
            <sz val="9"/>
            <color indexed="8"/>
            <rFont val="Calibri"/>
            <family val="2"/>
            <scheme val="minor"/>
          </rPr>
          <t xml:space="preserve">See Comparison &amp; Fee Analysis Note (15)
</t>
        </r>
      </text>
    </comment>
    <comment ref="B45" authorId="0" shapeId="0">
      <text>
        <r>
          <rPr>
            <b/>
            <sz val="9"/>
            <color indexed="8"/>
            <rFont val="Calibri"/>
            <family val="2"/>
            <scheme val="minor"/>
          </rPr>
          <t xml:space="preserve">See Comparison &amp; Fee Analysis Note (15)
</t>
        </r>
      </text>
    </comment>
    <comment ref="B50" authorId="0" shapeId="0">
      <text>
        <r>
          <rPr>
            <b/>
            <sz val="9"/>
            <color indexed="8"/>
            <rFont val="Calibri"/>
            <family val="2"/>
            <scheme val="minor"/>
          </rPr>
          <t>See Totals Note (17)</t>
        </r>
      </text>
    </comment>
    <comment ref="B51" authorId="0" shapeId="0">
      <text>
        <r>
          <rPr>
            <b/>
            <sz val="9"/>
            <color indexed="8"/>
            <rFont val="Calibri"/>
            <family val="2"/>
            <scheme val="minor"/>
          </rPr>
          <t>See Totals Note (18)</t>
        </r>
      </text>
    </comment>
  </commentList>
</comments>
</file>

<file path=xl/sharedStrings.xml><?xml version="1.0" encoding="utf-8"?>
<sst xmlns="http://schemas.openxmlformats.org/spreadsheetml/2006/main" count="108" uniqueCount="78">
  <si>
    <t>Contract Number</t>
  </si>
  <si>
    <t>Time of opening</t>
  </si>
  <si>
    <t>Time of last refresh</t>
  </si>
  <si>
    <t>Contract Name</t>
  </si>
  <si>
    <t>Last Save</t>
  </si>
  <si>
    <t>Last Post</t>
  </si>
  <si>
    <t>Project Number</t>
  </si>
  <si>
    <t>Project Name</t>
  </si>
  <si>
    <t>—</t>
  </si>
  <si>
    <t>Rev Batch ID</t>
  </si>
  <si>
    <t>Cost Batch ID</t>
  </si>
  <si>
    <t>Projection Month</t>
  </si>
  <si>
    <t>McKinstry Cost &amp; Revenue Projections</t>
  </si>
  <si>
    <t>Viewpoint Login</t>
  </si>
  <si>
    <t>WORKBOOK INFORMATION</t>
  </si>
  <si>
    <t>BATCH INFORMATION</t>
  </si>
  <si>
    <t>USER NAME</t>
  </si>
  <si>
    <t>FROM COST PROJECTIONS</t>
  </si>
  <si>
    <t>TOTAL ANTICIPATED FEE (MARKUP)</t>
  </si>
  <si>
    <t>TOTAL ANTICIPATED GROSS MARGIN</t>
  </si>
  <si>
    <t>PROJECTION UPDATE HISTORY SINCE WORKBOOK OPENING</t>
  </si>
  <si>
    <t>GMAX WORKSHEET:  Project Number_Project Name</t>
  </si>
  <si>
    <t>ABOUT THE CONTRACT TERMS</t>
  </si>
  <si>
    <t>CONTRACT TERM NOTES</t>
  </si>
  <si>
    <t>CONTRACT ACTUAL STAFF BURDEN</t>
  </si>
  <si>
    <t>B&amp;O TAX</t>
  </si>
  <si>
    <r>
      <t xml:space="preserve">(1)  </t>
    </r>
    <r>
      <rPr>
        <sz val="8"/>
        <rFont val="Calibri Light"/>
        <family val="2"/>
      </rPr>
      <t xml:space="preserve">If the contract has a stipulated percentage indicate the number in the GMAX setup. If the contract does not have stipulated percentages and the contract indicates substantiation to actuals is required, a burden analysis needs to be completed.  Help from the substantiation team may be required.
</t>
    </r>
    <r>
      <rPr>
        <b/>
        <sz val="8"/>
        <rFont val="Calibri Light"/>
        <family val="2"/>
      </rPr>
      <t>(2)</t>
    </r>
    <r>
      <rPr>
        <sz val="8"/>
        <rFont val="Calibri Light"/>
        <family val="2"/>
      </rPr>
      <t xml:space="preserve">  The PM should confirm that the contract language allows the following (at a minimum) to be included in the the burden substantiation:  FICA, FUTA, SUTA, Workers Comp ( Stipulated EMR rate desired), Training, Safety Program, PTO, Life Insurance, 401k/Incentive, and Group Medical.
</t>
    </r>
    <r>
      <rPr>
        <b/>
        <sz val="8"/>
        <rFont val="Calibri Light"/>
        <family val="2"/>
      </rPr>
      <t>(3)</t>
    </r>
    <r>
      <rPr>
        <sz val="8"/>
        <rFont val="Calibri Light"/>
        <family val="2"/>
      </rPr>
      <t xml:space="preserve">  Contract Shop Burden is generally applied  to total of union base plus fringe
</t>
    </r>
    <r>
      <rPr>
        <b/>
        <sz val="8"/>
        <rFont val="Calibri Light"/>
        <family val="2"/>
      </rPr>
      <t>(4)</t>
    </r>
    <r>
      <rPr>
        <sz val="8"/>
        <rFont val="Calibri Light"/>
        <family val="2"/>
      </rPr>
      <t xml:space="preserve">  Base Fee is Overhead plus Profit stipulated in the Contract
</t>
    </r>
  </si>
  <si>
    <t>CONTRACT ACTUAL FIELD BURDEN</t>
  </si>
  <si>
    <t xml:space="preserve">INSURANCE (GLI) </t>
  </si>
  <si>
    <t>CONTRACT SHOP BURDEN</t>
  </si>
  <si>
    <t>SMALL TOOLS</t>
  </si>
  <si>
    <t>BASE FEE</t>
  </si>
  <si>
    <t>WARRANTY</t>
  </si>
  <si>
    <t>BOND</t>
  </si>
  <si>
    <t>ABOUT THE LABOR</t>
  </si>
  <si>
    <t>MCKINSTRY STANDARD BURDEN RATES</t>
  </si>
  <si>
    <t>LABOR NOTES</t>
  </si>
  <si>
    <t>STAFF LABOR</t>
  </si>
  <si>
    <t>FIELD LABOR</t>
  </si>
  <si>
    <t>SHOP LABOR</t>
  </si>
  <si>
    <r>
      <t xml:space="preserve">
(5) </t>
    </r>
    <r>
      <rPr>
        <sz val="8"/>
        <rFont val="Calibri Light"/>
        <family val="2"/>
      </rPr>
      <t xml:space="preserve"> Burden rates applied as follows:
          Staff: Burden applied to W-2 Wage
          Field: Burden appliced to Taxable Base rate
          Shop:  Applied to Base rate</t>
    </r>
  </si>
  <si>
    <t>CONTRACT LABOR WEIGHTED AVERAGE ($/HR)</t>
  </si>
  <si>
    <r>
      <t xml:space="preserve">(6)  </t>
    </r>
    <r>
      <rPr>
        <u/>
        <sz val="8"/>
        <color indexed="8"/>
        <rFont val="Calibri"/>
        <family val="2"/>
      </rPr>
      <t>Click here to access Standard Rates located on BlueNet</t>
    </r>
  </si>
  <si>
    <t>TAXABLE BASE</t>
  </si>
  <si>
    <t>AVG UNION FRINGE</t>
  </si>
  <si>
    <t>N/A</t>
  </si>
  <si>
    <t>TAXABLE PLUS FRINGE</t>
  </si>
  <si>
    <t>MCK BURDEN</t>
  </si>
  <si>
    <t>LOADED/STANDARD COST</t>
  </si>
  <si>
    <r>
      <t xml:space="preserve">PROJECTED </t>
    </r>
    <r>
      <rPr>
        <b/>
        <sz val="10"/>
        <color indexed="8"/>
        <rFont val="Calibri"/>
        <family val="2"/>
      </rPr>
      <t>COST</t>
    </r>
    <r>
      <rPr>
        <sz val="10"/>
        <color indexed="8"/>
        <rFont val="Calibri"/>
        <family val="2"/>
      </rPr>
      <t xml:space="preserve"> @ COMPLETION</t>
    </r>
  </si>
  <si>
    <r>
      <t xml:space="preserve">PROJECTED </t>
    </r>
    <r>
      <rPr>
        <b/>
        <sz val="10"/>
        <color indexed="8"/>
        <rFont val="Calibri"/>
        <family val="2"/>
      </rPr>
      <t>HOURS</t>
    </r>
  </si>
  <si>
    <t>GMAX WORKSHEET INPUT</t>
  </si>
  <si>
    <r>
      <t xml:space="preserve">TOTA </t>
    </r>
    <r>
      <rPr>
        <b/>
        <sz val="10"/>
        <color indexed="8"/>
        <rFont val="Calibri"/>
        <family val="2"/>
      </rPr>
      <t>STAFF</t>
    </r>
    <r>
      <rPr>
        <sz val="10"/>
        <color indexed="8"/>
        <rFont val="Calibri"/>
        <family val="2"/>
      </rPr>
      <t xml:space="preserve"> LABOR HOURS</t>
    </r>
  </si>
  <si>
    <r>
      <t xml:space="preserve">TOTAL </t>
    </r>
    <r>
      <rPr>
        <b/>
        <sz val="10"/>
        <color indexed="8"/>
        <rFont val="Calibri"/>
        <family val="2"/>
      </rPr>
      <t>FIELD</t>
    </r>
    <r>
      <rPr>
        <sz val="10"/>
        <color indexed="8"/>
        <rFont val="Calibri"/>
        <family val="2"/>
      </rPr>
      <t xml:space="preserve"> LABOR HOURS</t>
    </r>
  </si>
  <si>
    <r>
      <t xml:space="preserve">TOTAL  </t>
    </r>
    <r>
      <rPr>
        <b/>
        <sz val="10"/>
        <color indexed="8"/>
        <rFont val="Calibri"/>
        <family val="2"/>
      </rPr>
      <t>SHOP</t>
    </r>
    <r>
      <rPr>
        <sz val="10"/>
        <color indexed="8"/>
        <rFont val="Calibri"/>
        <family val="2"/>
      </rPr>
      <t xml:space="preserve"> LABOR  HOURS</t>
    </r>
  </si>
  <si>
    <t>CONTRACT AGREEMENT COMPARED TO MCKINSTRY COST STRUCTURE</t>
  </si>
  <si>
    <t>COMPARISON &amp; FEE ANALYSIS NOTES</t>
  </si>
  <si>
    <t>MCKINSTRY
COST STRUCTURE</t>
  </si>
  <si>
    <t>CLIENT
COST STRUCTURE</t>
  </si>
  <si>
    <t>DELTA</t>
  </si>
  <si>
    <t>IMPACT ON FEE</t>
  </si>
  <si>
    <r>
      <t xml:space="preserve">
</t>
    </r>
    <r>
      <rPr>
        <b/>
        <sz val="8"/>
        <rFont val="Calibri Light"/>
        <family val="2"/>
      </rPr>
      <t xml:space="preserve">(7)   </t>
    </r>
    <r>
      <rPr>
        <sz val="8"/>
        <rFont val="Calibri Light"/>
        <family val="2"/>
      </rPr>
      <t xml:space="preserve">Delta between McK field/shop and negotiated field/shop labor burdens
</t>
    </r>
    <r>
      <rPr>
        <b/>
        <sz val="8"/>
        <rFont val="Calibri Light"/>
        <family val="2"/>
      </rPr>
      <t xml:space="preserve">(8)   </t>
    </r>
    <r>
      <rPr>
        <sz val="8"/>
        <rFont val="Calibri Light"/>
        <family val="2"/>
      </rPr>
      <t xml:space="preserve">Delta between McK staff and negotiated staff burdens
</t>
    </r>
    <r>
      <rPr>
        <b/>
        <sz val="8"/>
        <rFont val="Calibri Light"/>
        <family val="2"/>
      </rPr>
      <t xml:space="preserve">(9)   </t>
    </r>
    <r>
      <rPr>
        <sz val="8"/>
        <rFont val="Calibri Light"/>
        <family val="2"/>
      </rPr>
      <t xml:space="preserve">Delta between McK shop (infrastructure costs) and negotiated shop burdens
</t>
    </r>
    <r>
      <rPr>
        <b/>
        <sz val="8"/>
        <rFont val="Calibri Light"/>
        <family val="2"/>
      </rPr>
      <t xml:space="preserve">(10)  </t>
    </r>
    <r>
      <rPr>
        <sz val="8"/>
        <rFont val="Calibri Light"/>
        <family val="2"/>
      </rPr>
      <t xml:space="preserve">Estimated REVENUE of McK owned Rentals for any contractual differences
</t>
    </r>
    <r>
      <rPr>
        <b/>
        <sz val="8"/>
        <rFont val="Calibri Light"/>
        <family val="2"/>
      </rPr>
      <t>(11)</t>
    </r>
    <r>
      <rPr>
        <sz val="8"/>
        <rFont val="Calibri Light"/>
        <family val="2"/>
      </rPr>
      <t xml:space="preserve">   Estimated COST of McK owned Rentals .5% of project
</t>
    </r>
    <r>
      <rPr>
        <b/>
        <sz val="8"/>
        <rFont val="Calibri Light"/>
        <family val="2"/>
      </rPr>
      <t xml:space="preserve">(12)  </t>
    </r>
    <r>
      <rPr>
        <sz val="8"/>
        <rFont val="Calibri Light"/>
        <family val="2"/>
      </rPr>
      <t xml:space="preserve">Confirm actual labor differential with substantiation
</t>
    </r>
    <r>
      <rPr>
        <b/>
        <sz val="8"/>
        <rFont val="Calibri Light"/>
        <family val="2"/>
      </rPr>
      <t xml:space="preserve">(13)  </t>
    </r>
    <r>
      <rPr>
        <sz val="8"/>
        <rFont val="Calibri Light"/>
        <family val="2"/>
      </rPr>
      <t xml:space="preserve">Miscellaneous adjustments (shared savings) can be positive or negative
</t>
    </r>
    <r>
      <rPr>
        <b/>
        <sz val="8"/>
        <rFont val="Calibri Light"/>
        <family val="2"/>
      </rPr>
      <t xml:space="preserve">(14) </t>
    </r>
    <r>
      <rPr>
        <sz val="8"/>
        <rFont val="Calibri Light"/>
        <family val="2"/>
      </rPr>
      <t xml:space="preserve"> Zero-percent (0%) is charged to the job effective 11/2015; McKinstry still pays GLI and charges to Business Unit Overhead
</t>
    </r>
    <r>
      <rPr>
        <b/>
        <sz val="8"/>
        <rFont val="Calibri Light"/>
        <family val="2"/>
      </rPr>
      <t xml:space="preserve">(15) </t>
    </r>
    <r>
      <rPr>
        <sz val="8"/>
        <rFont val="Calibri Light"/>
        <family val="2"/>
      </rPr>
      <t xml:space="preserve"> May change based on risk level, change orders, etc.  
</t>
    </r>
    <r>
      <rPr>
        <b/>
        <sz val="8"/>
        <rFont val="Calibri Light"/>
        <family val="2"/>
      </rPr>
      <t>(16)</t>
    </r>
    <r>
      <rPr>
        <sz val="8"/>
        <rFont val="Calibri Light"/>
        <family val="2"/>
      </rPr>
      <t xml:space="preserve">  May change based on change orders</t>
    </r>
  </si>
  <si>
    <t>FIELD &amp; SHOP</t>
  </si>
  <si>
    <t>STAFF/NEGOTIATED</t>
  </si>
  <si>
    <t>SHOP</t>
  </si>
  <si>
    <t>FEE ANALYSIS</t>
  </si>
  <si>
    <r>
      <t xml:space="preserve">MCKINSTRY OWNED RENTALS </t>
    </r>
    <r>
      <rPr>
        <b/>
        <sz val="10"/>
        <rFont val="Calibri"/>
        <family val="2"/>
      </rPr>
      <t>REVENUE</t>
    </r>
  </si>
  <si>
    <r>
      <t xml:space="preserve">MCKINSTRY OWNED RENTALS </t>
    </r>
    <r>
      <rPr>
        <b/>
        <sz val="10"/>
        <rFont val="Calibri"/>
        <family val="2"/>
      </rPr>
      <t>COST</t>
    </r>
  </si>
  <si>
    <t>LABOR DIFFERENTIAL</t>
  </si>
  <si>
    <r>
      <t xml:space="preserve">OTHER </t>
    </r>
    <r>
      <rPr>
        <sz val="10"/>
        <rFont val="Calibri"/>
        <family val="2"/>
      </rPr>
      <t>COSTS &amp; ADJUSTMENTS NOT COVERED IN CONTRACT</t>
    </r>
  </si>
  <si>
    <t xml:space="preserve">GENERAL LIABILITY INSURANCE (GLI) </t>
  </si>
  <si>
    <t>B&amp;O TAX CHARGED BY MCKINSTRY</t>
  </si>
  <si>
    <t>TOTALS</t>
  </si>
  <si>
    <t>TOTALS NOTES</t>
  </si>
  <si>
    <t>TOTAL COST</t>
  </si>
  <si>
    <r>
      <t xml:space="preserve">
</t>
    </r>
    <r>
      <rPr>
        <b/>
        <sz val="8"/>
        <rFont val="Calibri"/>
        <family val="2"/>
      </rPr>
      <t>(17)</t>
    </r>
    <r>
      <rPr>
        <sz val="8"/>
        <rFont val="Calibri"/>
        <family val="2"/>
      </rPr>
      <t xml:space="preserve">  This number is what the WIP report  and Viewpoint should show.
</t>
    </r>
    <r>
      <rPr>
        <b/>
        <sz val="8"/>
        <rFont val="Calibri"/>
        <family val="2"/>
      </rPr>
      <t>(18)</t>
    </r>
    <r>
      <rPr>
        <sz val="8"/>
        <rFont val="Calibri"/>
        <family val="2"/>
      </rPr>
      <t xml:space="preserve">  This number should be reported as the Revenue Projection</t>
    </r>
  </si>
  <si>
    <t>ANTICIAPTED FEE (DOLLARS)</t>
  </si>
  <si>
    <t>PROJECTED FINAL BILLING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</si>
</sst>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$&quot;* #,##0.00_);_(&quot;$&quot;* \(#,##0.00\);_(&quot;$&quot;* &quot;-&quot;??_);_(@_)"/>
    <numFmt numFmtId="164" formatCode="m/d/yyyy\ hh:mm:ss\ AM/PM"/>
    <numFmt numFmtId="165" formatCode="_(&quot;$&quot;* #,##0_);_(&quot;$&quot;* \(#,##0\);_(&quot;$&quot;* &quot;-&quot;??_);_(@_)"/>
    <numFmt numFmtId="166" formatCode="_(* #,##0_);_(* \(#,##0\);_(* &quot;-&quot;??_);_(@_)"/>
    <numFmt numFmtId="167" formatCode="0.0%"/>
    <numFmt numFmtId="168" formatCode="_(&quot;$&quot;* #,##0.00_);_(&quot;$&quot;* \(#,##0.00\);_(&quot;$&quot;* &quot; - &quot;??_);_(@_)"/>
    <numFmt numFmtId="169" formatCode="&quot;$&quot;#,##0.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color theme="1"/>
      <name val="Calibri"/>
      <family val="2"/>
    </font>
    <font>
      <b/>
      <sz val="12"/>
      <color rgb="FF231F20"/>
      <name val="Calibri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Calibri"/>
      <family val="2"/>
    </font>
    <font>
      <sz val="11"/>
      <color indexed="8"/>
      <name val="Calibri"/>
      <family val="2"/>
    </font>
    <font>
      <b/>
      <sz val="12"/>
      <color indexed="9"/>
      <name val="Calibri"/>
      <family val="2"/>
    </font>
    <font>
      <sz val="11"/>
      <color indexed="8"/>
      <name val="Calibri Light"/>
      <family val="2"/>
    </font>
    <font>
      <b/>
      <sz val="20"/>
      <color indexed="8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color indexed="8"/>
      <name val="Calibri"/>
      <family val="2"/>
    </font>
    <font>
      <b/>
      <sz val="10"/>
      <color indexed="63"/>
      <name val="Calibri"/>
      <family val="2"/>
    </font>
    <font>
      <b/>
      <sz val="14"/>
      <color indexed="9"/>
      <name val="Calibri"/>
      <family val="2"/>
    </font>
    <font>
      <sz val="10"/>
      <color indexed="8"/>
      <name val="Calibri Light"/>
      <family val="2"/>
    </font>
    <font>
      <sz val="10"/>
      <color indexed="63"/>
      <name val="Calibri"/>
      <family val="2"/>
    </font>
    <font>
      <b/>
      <sz val="10"/>
      <name val="Calibri"/>
      <family val="2"/>
    </font>
    <font>
      <b/>
      <sz val="10"/>
      <color indexed="56"/>
      <name val="Calibri"/>
      <family val="2"/>
    </font>
    <font>
      <sz val="8"/>
      <name val="Calibri Light"/>
      <family val="2"/>
    </font>
    <font>
      <b/>
      <i/>
      <sz val="10"/>
      <color indexed="63"/>
      <name val="Calibri"/>
      <family val="2"/>
    </font>
    <font>
      <sz val="11"/>
      <name val="Calibri Light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sz val="12"/>
      <color indexed="8"/>
      <name val="Calibri Light"/>
      <family val="2"/>
    </font>
    <font>
      <sz val="12"/>
      <color indexed="8"/>
      <name val="Calibri"/>
      <family val="2"/>
    </font>
    <font>
      <sz val="10"/>
      <name val="Calibri Light"/>
      <family val="2"/>
    </font>
    <font>
      <b/>
      <sz val="11"/>
      <color indexed="63"/>
      <name val="Calibri"/>
      <family val="2"/>
    </font>
    <font>
      <b/>
      <sz val="11"/>
      <color indexed="9"/>
      <name val="Calibri"/>
      <family val="2"/>
    </font>
    <font>
      <u/>
      <sz val="8"/>
      <color indexed="8"/>
      <name val="Calibri"/>
      <family val="2"/>
    </font>
    <font>
      <sz val="8"/>
      <name val="Calibri"/>
      <family val="2"/>
    </font>
    <font>
      <b/>
      <sz val="9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8"/>
      <name val="Calibri Light"/>
      <family val="2"/>
    </font>
    <font>
      <sz val="9"/>
      <color indexed="18"/>
      <name val="Calibri"/>
      <family val="2"/>
      <scheme val="minor"/>
    </font>
    <font>
      <b/>
      <sz val="8"/>
      <color indexed="8"/>
      <name val="Calibri"/>
      <family val="2"/>
    </font>
    <font>
      <b/>
      <sz val="8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0C3CC"/>
        <bgColor indexed="64"/>
      </patternFill>
    </fill>
    <fill>
      <patternFill patternType="solid">
        <fgColor rgb="FF0A3F54"/>
        <bgColor indexed="64"/>
      </patternFill>
    </fill>
    <fill>
      <patternFill patternType="solid">
        <fgColor rgb="FFFAEDBF"/>
        <bgColor indexed="64"/>
      </patternFill>
    </fill>
    <fill>
      <patternFill patternType="solid">
        <fgColor rgb="FF768393"/>
        <bgColor indexed="64"/>
      </patternFill>
    </fill>
    <fill>
      <patternFill patternType="solid">
        <fgColor rgb="FFE7E7E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/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</borders>
  <cellStyleXfs count="23">
    <xf numFmtId="0" fontId="0" fillId="0" borderId="0"/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1" fillId="0" borderId="0">
      <alignment horizontal="left"/>
    </xf>
    <xf numFmtId="0" fontId="5" fillId="0" borderId="0"/>
    <xf numFmtId="0" fontId="6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" fillId="0" borderId="0">
      <alignment horizontal="left"/>
    </xf>
    <xf numFmtId="9" fontId="1" fillId="0" borderId="0" applyFont="0" applyFill="0" applyBorder="0" applyAlignment="0" applyProtection="0"/>
  </cellStyleXfs>
  <cellXfs count="127">
    <xf numFmtId="0" fontId="0" fillId="0" borderId="0" xfId="0"/>
    <xf numFmtId="164" fontId="2" fillId="0" borderId="0" xfId="12" applyNumberFormat="1" applyFont="1" applyAlignment="1">
      <alignment horizontal="left"/>
    </xf>
    <xf numFmtId="164" fontId="0" fillId="0" borderId="0" xfId="0" applyNumberFormat="1"/>
    <xf numFmtId="22" fontId="2" fillId="0" borderId="0" xfId="0" applyNumberFormat="1" applyFont="1" applyAlignment="1">
      <alignment horizontal="left"/>
    </xf>
    <xf numFmtId="0" fontId="0" fillId="0" borderId="1" xfId="0" applyBorder="1"/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2" fillId="0" borderId="0" xfId="10" applyNumberFormat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0" fillId="0" borderId="0" xfId="0" applyNumberFormat="1" applyFont="1" applyFill="1" applyBorder="1" applyAlignment="1" applyProtection="1"/>
    <xf numFmtId="0" fontId="11" fillId="0" borderId="0" xfId="0" applyNumberFormat="1" applyFont="1" applyFill="1" applyBorder="1" applyAlignment="1" applyProtection="1">
      <alignment horizontal="left"/>
    </xf>
    <xf numFmtId="0" fontId="16" fillId="0" borderId="0" xfId="0" applyNumberFormat="1" applyFont="1" applyFill="1" applyBorder="1" applyAlignment="1" applyProtection="1">
      <alignment vertical="center"/>
    </xf>
    <xf numFmtId="0" fontId="25" fillId="6" borderId="0" xfId="0" applyNumberFormat="1" applyFont="1" applyFill="1" applyBorder="1" applyAlignment="1" applyProtection="1">
      <alignment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167" fontId="13" fillId="7" borderId="3" xfId="0" applyNumberFormat="1" applyFont="1" applyFill="1" applyBorder="1" applyAlignment="1" applyProtection="1">
      <alignment vertical="center" wrapText="1"/>
    </xf>
    <xf numFmtId="10" fontId="13" fillId="7" borderId="3" xfId="0" applyNumberFormat="1" applyFont="1" applyFill="1" applyBorder="1" applyAlignment="1" applyProtection="1">
      <alignment vertical="center" wrapText="1"/>
    </xf>
    <xf numFmtId="0" fontId="14" fillId="0" borderId="0" xfId="0" applyNumberFormat="1" applyFont="1" applyFill="1" applyBorder="1" applyAlignment="1" applyProtection="1">
      <alignment horizontal="right" vertical="center" wrapText="1"/>
    </xf>
    <xf numFmtId="0" fontId="21" fillId="0" borderId="0" xfId="0" applyNumberFormat="1" applyFont="1" applyFill="1" applyBorder="1" applyAlignment="1" applyProtection="1">
      <alignment vertical="top" wrapText="1"/>
    </xf>
    <xf numFmtId="10" fontId="13" fillId="7" borderId="4" xfId="0" applyNumberFormat="1" applyFont="1" applyFill="1" applyBorder="1" applyAlignment="1" applyProtection="1">
      <alignment vertical="center" wrapText="1"/>
    </xf>
    <xf numFmtId="0" fontId="28" fillId="0" borderId="5" xfId="0" applyNumberFormat="1" applyFont="1" applyFill="1" applyBorder="1" applyAlignment="1" applyProtection="1">
      <alignment vertical="top" wrapText="1"/>
    </xf>
    <xf numFmtId="0" fontId="28" fillId="0" borderId="0" xfId="0" applyNumberFormat="1" applyFont="1" applyFill="1" applyBorder="1" applyAlignment="1" applyProtection="1">
      <alignment vertical="top" wrapText="1"/>
    </xf>
    <xf numFmtId="0" fontId="23" fillId="0" borderId="0" xfId="0" applyNumberFormat="1" applyFont="1" applyFill="1" applyBorder="1" applyAlignment="1" applyProtection="1">
      <alignment vertical="top" wrapText="1"/>
    </xf>
    <xf numFmtId="0" fontId="21" fillId="0" borderId="2" xfId="0" applyNumberFormat="1" applyFont="1" applyFill="1" applyBorder="1" applyAlignment="1" applyProtection="1">
      <alignment vertical="top" wrapText="1"/>
    </xf>
    <xf numFmtId="0" fontId="25" fillId="0" borderId="4" xfId="0" applyNumberFormat="1" applyFont="1" applyFill="1" applyBorder="1" applyAlignment="1" applyProtection="1">
      <alignment vertical="center"/>
    </xf>
    <xf numFmtId="0" fontId="10" fillId="6" borderId="0" xfId="0" applyNumberFormat="1" applyFont="1" applyFill="1" applyBorder="1" applyAlignment="1" applyProtection="1"/>
    <xf numFmtId="0" fontId="17" fillId="0" borderId="0" xfId="0" applyNumberFormat="1" applyFont="1" applyFill="1" applyBorder="1" applyAlignment="1" applyProtection="1"/>
    <xf numFmtId="0" fontId="17" fillId="0" borderId="6" xfId="0" applyNumberFormat="1" applyFont="1" applyFill="1" applyBorder="1" applyAlignment="1" applyProtection="1"/>
    <xf numFmtId="0" fontId="17" fillId="0" borderId="0" xfId="0" applyNumberFormat="1" applyFont="1" applyFill="1" applyBorder="1" applyAlignment="1" applyProtection="1">
      <alignment horizontal="left"/>
    </xf>
    <xf numFmtId="0" fontId="25" fillId="6" borderId="0" xfId="0" applyNumberFormat="1" applyFont="1" applyFill="1" applyBorder="1" applyAlignment="1" applyProtection="1"/>
    <xf numFmtId="0" fontId="8" fillId="0" borderId="0" xfId="0" applyNumberFormat="1" applyFont="1" applyFill="1" applyBorder="1" applyAlignment="1" applyProtection="1">
      <alignment vertical="center"/>
    </xf>
    <xf numFmtId="0" fontId="8" fillId="0" borderId="5" xfId="0" applyNumberFormat="1" applyFont="1" applyFill="1" applyBorder="1" applyAlignment="1" applyProtection="1">
      <alignment vertical="center"/>
    </xf>
    <xf numFmtId="0" fontId="15" fillId="0" borderId="8" xfId="0" applyNumberFormat="1" applyFont="1" applyFill="1" applyBorder="1" applyAlignment="1" applyProtection="1">
      <alignment horizontal="center"/>
    </xf>
    <xf numFmtId="0" fontId="12" fillId="0" borderId="0" xfId="0" applyNumberFormat="1" applyFont="1" applyFill="1" applyBorder="1" applyAlignment="1" applyProtection="1">
      <alignment horizontal="left" vertical="center" wrapText="1"/>
    </xf>
    <xf numFmtId="0" fontId="14" fillId="0" borderId="0" xfId="0" applyNumberFormat="1" applyFont="1" applyFill="1" applyBorder="1" applyAlignment="1" applyProtection="1">
      <alignment horizontal="center" vertical="center"/>
    </xf>
    <xf numFmtId="167" fontId="18" fillId="7" borderId="8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 wrapText="1"/>
    </xf>
    <xf numFmtId="167" fontId="15" fillId="0" borderId="0" xfId="0" applyNumberFormat="1" applyFont="1" applyFill="1" applyBorder="1" applyAlignment="1" applyProtection="1">
      <alignment horizontal="center" vertical="center"/>
    </xf>
    <xf numFmtId="0" fontId="10" fillId="0" borderId="5" xfId="0" applyNumberFormat="1" applyFont="1" applyFill="1" applyBorder="1" applyAlignment="1" applyProtection="1"/>
    <xf numFmtId="0" fontId="24" fillId="0" borderId="0" xfId="0" applyNumberFormat="1" applyFont="1" applyFill="1" applyBorder="1" applyAlignment="1" applyProtection="1">
      <alignment vertical="center" wrapText="1"/>
    </xf>
    <xf numFmtId="0" fontId="26" fillId="0" borderId="0" xfId="0" applyNumberFormat="1" applyFont="1" applyFill="1" applyBorder="1" applyAlignment="1" applyProtection="1">
      <alignment horizontal="left"/>
    </xf>
    <xf numFmtId="0" fontId="15" fillId="0" borderId="0" xfId="0" applyNumberFormat="1" applyFont="1" applyFill="1" applyBorder="1" applyAlignment="1" applyProtection="1">
      <alignment horizontal="center"/>
    </xf>
    <xf numFmtId="0" fontId="15" fillId="0" borderId="5" xfId="0" applyNumberFormat="1" applyFont="1" applyFill="1" applyBorder="1" applyAlignment="1" applyProtection="1">
      <alignment horizontal="center"/>
    </xf>
    <xf numFmtId="0" fontId="37" fillId="6" borderId="0" xfId="0" applyNumberFormat="1" applyFont="1" applyFill="1" applyBorder="1" applyAlignment="1" applyProtection="1">
      <alignment vertical="top" wrapText="1"/>
    </xf>
    <xf numFmtId="0" fontId="15" fillId="0" borderId="5" xfId="0" applyNumberFormat="1" applyFont="1" applyFill="1" applyBorder="1" applyAlignment="1" applyProtection="1">
      <alignment horizontal="right" vertical="center"/>
    </xf>
    <xf numFmtId="168" fontId="12" fillId="7" borderId="8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8" fillId="6" borderId="0" xfId="0" applyNumberFormat="1" applyFont="1" applyFill="1" applyBorder="1" applyAlignment="1" applyProtection="1">
      <alignment vertical="center"/>
    </xf>
    <xf numFmtId="44" fontId="13" fillId="7" borderId="8" xfId="0" applyNumberFormat="1" applyFont="1" applyFill="1" applyBorder="1" applyAlignment="1" applyProtection="1">
      <alignment horizontal="right" vertical="center" wrapText="1"/>
    </xf>
    <xf numFmtId="0" fontId="21" fillId="6" borderId="0" xfId="0" applyNumberFormat="1" applyFont="1" applyFill="1" applyBorder="1" applyAlignment="1" applyProtection="1">
      <alignment vertical="top" wrapText="1"/>
    </xf>
    <xf numFmtId="44" fontId="18" fillId="7" borderId="8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vertical="center"/>
    </xf>
    <xf numFmtId="44" fontId="12" fillId="7" borderId="8" xfId="0" applyNumberFormat="1" applyFont="1" applyFill="1" applyBorder="1" applyAlignment="1" applyProtection="1">
      <alignment vertical="center"/>
    </xf>
    <xf numFmtId="44" fontId="27" fillId="0" borderId="0" xfId="0" applyNumberFormat="1" applyFont="1" applyFill="1" applyBorder="1" applyAlignment="1" applyProtection="1">
      <alignment vertical="center" wrapText="1"/>
    </xf>
    <xf numFmtId="0" fontId="15" fillId="0" borderId="5" xfId="0" applyNumberFormat="1" applyFont="1" applyFill="1" applyBorder="1" applyAlignment="1" applyProtection="1">
      <alignment horizontal="right" vertical="center" wrapText="1"/>
    </xf>
    <xf numFmtId="44" fontId="12" fillId="0" borderId="0" xfId="0" applyNumberFormat="1" applyFont="1" applyFill="1" applyBorder="1" applyAlignment="1" applyProtection="1">
      <alignment vertical="center"/>
    </xf>
    <xf numFmtId="0" fontId="12" fillId="0" borderId="0" xfId="0" applyNumberFormat="1" applyFont="1" applyFill="1" applyBorder="1" applyAlignment="1" applyProtection="1"/>
    <xf numFmtId="0" fontId="25" fillId="0" borderId="0" xfId="0" applyNumberFormat="1" applyFont="1" applyFill="1" applyBorder="1" applyAlignment="1" applyProtection="1">
      <alignment vertical="center"/>
    </xf>
    <xf numFmtId="0" fontId="12" fillId="8" borderId="4" xfId="0" applyNumberFormat="1" applyFont="1" applyFill="1" applyBorder="1" applyAlignment="1" applyProtection="1">
      <alignment horizontal="right" vertical="center"/>
    </xf>
    <xf numFmtId="165" fontId="13" fillId="7" borderId="7" xfId="0" applyNumberFormat="1" applyFont="1" applyFill="1" applyBorder="1" applyAlignment="1" applyProtection="1">
      <alignment vertical="center" wrapText="1"/>
    </xf>
    <xf numFmtId="0" fontId="13" fillId="8" borderId="0" xfId="0" applyNumberFormat="1" applyFont="1" applyFill="1" applyBorder="1" applyAlignment="1" applyProtection="1">
      <alignment horizontal="left" vertical="center"/>
    </xf>
    <xf numFmtId="0" fontId="12" fillId="8" borderId="2" xfId="0" applyNumberFormat="1" applyFont="1" applyFill="1" applyBorder="1" applyAlignment="1" applyProtection="1">
      <alignment horizontal="right" vertical="center" wrapText="1"/>
    </xf>
    <xf numFmtId="166" fontId="13" fillId="7" borderId="9" xfId="0" applyNumberFormat="1" applyFont="1" applyFill="1" applyBorder="1" applyAlignment="1" applyProtection="1">
      <alignment vertical="center" wrapText="1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vertical="center"/>
    </xf>
    <xf numFmtId="166" fontId="20" fillId="4" borderId="2" xfId="0" applyNumberFormat="1" applyFont="1" applyFill="1" applyBorder="1" applyAlignment="1" applyProtection="1">
      <alignment horizontal="left" vertical="center"/>
    </xf>
    <xf numFmtId="0" fontId="12" fillId="8" borderId="0" xfId="0" applyNumberFormat="1" applyFont="1" applyFill="1" applyBorder="1" applyAlignment="1" applyProtection="1">
      <alignment horizontal="right" vertical="center" wrapText="1"/>
    </xf>
    <xf numFmtId="166" fontId="20" fillId="4" borderId="3" xfId="0" applyNumberFormat="1" applyFont="1" applyFill="1" applyBorder="1" applyAlignment="1" applyProtection="1">
      <alignment horizontal="left" vertical="center"/>
    </xf>
    <xf numFmtId="0" fontId="12" fillId="8" borderId="2" xfId="0" applyNumberFormat="1" applyFont="1" applyFill="1" applyBorder="1" applyAlignment="1" applyProtection="1">
      <alignment horizontal="right" vertical="center"/>
    </xf>
    <xf numFmtId="166" fontId="20" fillId="4" borderId="4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vertical="center" wrapText="1"/>
    </xf>
    <xf numFmtId="0" fontId="22" fillId="0" borderId="4" xfId="0" applyNumberFormat="1" applyFont="1" applyFill="1" applyBorder="1" applyAlignment="1" applyProtection="1">
      <alignment vertical="center" wrapText="1"/>
    </xf>
    <xf numFmtId="0" fontId="15" fillId="0" borderId="0" xfId="0" applyNumberFormat="1" applyFont="1" applyFill="1" applyBorder="1" applyAlignment="1" applyProtection="1">
      <alignment horizontal="center" wrapText="1"/>
    </xf>
    <xf numFmtId="0" fontId="15" fillId="0" borderId="0" xfId="0" applyNumberFormat="1" applyFont="1" applyFill="1" applyBorder="1" applyAlignment="1" applyProtection="1">
      <alignment horizontal="center" vertical="center" wrapText="1"/>
    </xf>
    <xf numFmtId="0" fontId="22" fillId="0" borderId="0" xfId="0" applyNumberFormat="1" applyFont="1" applyFill="1" applyBorder="1" applyAlignment="1" applyProtection="1">
      <alignment vertical="center" wrapText="1"/>
    </xf>
    <xf numFmtId="0" fontId="13" fillId="8" borderId="0" xfId="0" applyNumberFormat="1" applyFont="1" applyFill="1" applyBorder="1" applyAlignment="1" applyProtection="1">
      <alignment horizontal="right"/>
    </xf>
    <xf numFmtId="44" fontId="13" fillId="7" borderId="10" xfId="0" applyNumberFormat="1" applyFont="1" applyFill="1" applyBorder="1" applyAlignment="1" applyProtection="1">
      <alignment horizontal="left"/>
    </xf>
    <xf numFmtId="44" fontId="13" fillId="7" borderId="8" xfId="0" applyNumberFormat="1" applyFont="1" applyFill="1" applyBorder="1" applyAlignment="1" applyProtection="1">
      <alignment horizontal="left"/>
    </xf>
    <xf numFmtId="44" fontId="13" fillId="7" borderId="12" xfId="0" applyNumberFormat="1" applyFont="1" applyFill="1" applyBorder="1" applyAlignment="1" applyProtection="1">
      <alignment horizontal="left"/>
    </xf>
    <xf numFmtId="0" fontId="13" fillId="8" borderId="2" xfId="0" applyNumberFormat="1" applyFont="1" applyFill="1" applyBorder="1" applyAlignment="1" applyProtection="1">
      <alignment horizontal="right"/>
    </xf>
    <xf numFmtId="44" fontId="13" fillId="7" borderId="13" xfId="0" applyNumberFormat="1" applyFont="1" applyFill="1" applyBorder="1" applyAlignment="1" applyProtection="1">
      <alignment horizontal="left"/>
    </xf>
    <xf numFmtId="44" fontId="13" fillId="7" borderId="14" xfId="0" applyNumberFormat="1" applyFont="1" applyFill="1" applyBorder="1" applyAlignment="1" applyProtection="1">
      <alignment horizontal="left"/>
    </xf>
    <xf numFmtId="0" fontId="13" fillId="8" borderId="0" xfId="0" applyNumberFormat="1" applyFont="1" applyFill="1" applyBorder="1" applyAlignment="1" applyProtection="1">
      <alignment horizontal="right" vertical="center"/>
    </xf>
    <xf numFmtId="0" fontId="13" fillId="7" borderId="15" xfId="0" applyNumberFormat="1" applyFont="1" applyFill="1" applyBorder="1" applyAlignment="1" applyProtection="1">
      <alignment wrapText="1"/>
    </xf>
    <xf numFmtId="168" fontId="12" fillId="4" borderId="15" xfId="0" applyNumberFormat="1" applyFont="1" applyFill="1" applyBorder="1" applyAlignment="1" applyProtection="1">
      <alignment horizontal="left"/>
    </xf>
    <xf numFmtId="167" fontId="12" fillId="4" borderId="16" xfId="0" applyNumberFormat="1" applyFont="1" applyFill="1" applyBorder="1" applyAlignment="1" applyProtection="1">
      <alignment horizontal="right"/>
    </xf>
    <xf numFmtId="0" fontId="13" fillId="7" borderId="16" xfId="0" applyNumberFormat="1" applyFont="1" applyFill="1" applyBorder="1" applyAlignment="1" applyProtection="1">
      <alignment wrapText="1"/>
    </xf>
    <xf numFmtId="44" fontId="13" fillId="7" borderId="16" xfId="0" applyNumberFormat="1" applyFont="1" applyFill="1" applyBorder="1" applyAlignment="1" applyProtection="1">
      <alignment horizontal="left"/>
    </xf>
    <xf numFmtId="44" fontId="12" fillId="4" borderId="16" xfId="0" applyNumberFormat="1" applyFont="1" applyFill="1" applyBorder="1" applyAlignment="1" applyProtection="1">
      <alignment horizontal="right"/>
    </xf>
    <xf numFmtId="44" fontId="13" fillId="7" borderId="16" xfId="0" applyNumberFormat="1" applyFont="1" applyFill="1" applyBorder="1" applyAlignment="1" applyProtection="1">
      <alignment wrapText="1"/>
    </xf>
    <xf numFmtId="0" fontId="13" fillId="7" borderId="8" xfId="0" applyNumberFormat="1" applyFont="1" applyFill="1" applyBorder="1" applyAlignment="1" applyProtection="1">
      <alignment wrapText="1"/>
    </xf>
    <xf numFmtId="168" fontId="12" fillId="4" borderId="8" xfId="0" applyNumberFormat="1" applyFont="1" applyFill="1" applyBorder="1" applyAlignment="1" applyProtection="1">
      <alignment horizontal="left"/>
    </xf>
    <xf numFmtId="0" fontId="19" fillId="8" borderId="0" xfId="0" applyNumberFormat="1" applyFont="1" applyFill="1" applyBorder="1" applyAlignment="1" applyProtection="1">
      <alignment horizontal="right" vertical="center" wrapText="1"/>
    </xf>
    <xf numFmtId="0" fontId="13" fillId="8" borderId="0" xfId="0" applyNumberFormat="1" applyFont="1" applyFill="1" applyBorder="1" applyAlignment="1" applyProtection="1">
      <alignment horizontal="right" vertical="center" wrapText="1"/>
    </xf>
    <xf numFmtId="10" fontId="13" fillId="7" borderId="8" xfId="0" applyNumberFormat="1" applyFont="1" applyFill="1" applyBorder="1" applyAlignment="1" applyProtection="1">
      <alignment wrapText="1"/>
    </xf>
    <xf numFmtId="9" fontId="12" fillId="4" borderId="8" xfId="0" applyNumberFormat="1" applyFont="1" applyFill="1" applyBorder="1" applyAlignment="1" applyProtection="1">
      <alignment horizontal="left"/>
    </xf>
    <xf numFmtId="168" fontId="12" fillId="4" borderId="14" xfId="0" applyNumberFormat="1" applyFont="1" applyFill="1" applyBorder="1" applyAlignment="1" applyProtection="1">
      <alignment horizontal="left"/>
    </xf>
    <xf numFmtId="169" fontId="13" fillId="7" borderId="14" xfId="0" applyNumberFormat="1" applyFont="1" applyFill="1" applyBorder="1" applyAlignment="1" applyProtection="1">
      <alignment wrapText="1"/>
    </xf>
    <xf numFmtId="0" fontId="29" fillId="0" borderId="0" xfId="0" applyNumberFormat="1" applyFont="1" applyFill="1" applyBorder="1" applyAlignment="1" applyProtection="1">
      <alignment horizontal="right" vertical="center"/>
    </xf>
    <xf numFmtId="44" fontId="30" fillId="3" borderId="3" xfId="0" applyNumberFormat="1" applyFont="1" applyFill="1" applyBorder="1" applyAlignment="1" applyProtection="1">
      <alignment vertical="center"/>
    </xf>
    <xf numFmtId="0" fontId="13" fillId="8" borderId="0" xfId="0" applyNumberFormat="1" applyFont="1" applyFill="1" applyBorder="1" applyAlignment="1" applyProtection="1">
      <alignment vertical="center" wrapText="1"/>
    </xf>
    <xf numFmtId="10" fontId="30" fillId="3" borderId="3" xfId="0" applyNumberFormat="1" applyFont="1" applyFill="1" applyBorder="1" applyAlignment="1" applyProtection="1">
      <alignment vertical="center"/>
    </xf>
    <xf numFmtId="0" fontId="12" fillId="6" borderId="0" xfId="0" applyNumberFormat="1" applyFont="1" applyFill="1" applyBorder="1" applyAlignment="1" applyProtection="1">
      <alignment vertical="center"/>
    </xf>
    <xf numFmtId="0" fontId="9" fillId="5" borderId="3" xfId="0" applyNumberFormat="1" applyFont="1" applyFill="1" applyBorder="1" applyAlignment="1" applyProtection="1">
      <alignment horizontal="left" vertical="center" wrapText="1"/>
    </xf>
    <xf numFmtId="0" fontId="32" fillId="6" borderId="0" xfId="0" applyNumberFormat="1" applyFont="1" applyFill="1" applyBorder="1" applyAlignment="1" applyProtection="1">
      <alignment horizontal="left" vertical="top" wrapText="1"/>
    </xf>
    <xf numFmtId="0" fontId="9" fillId="5" borderId="2" xfId="0" applyNumberFormat="1" applyFont="1" applyFill="1" applyBorder="1" applyAlignment="1" applyProtection="1">
      <alignment vertical="center"/>
    </xf>
    <xf numFmtId="0" fontId="0" fillId="0" borderId="2" xfId="0" applyBorder="1" applyAlignment="1"/>
    <xf numFmtId="0" fontId="9" fillId="5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vertical="center"/>
    </xf>
    <xf numFmtId="0" fontId="9" fillId="5" borderId="3" xfId="0" applyNumberFormat="1" applyFont="1" applyFill="1" applyBorder="1" applyAlignment="1" applyProtection="1">
      <alignment vertical="center"/>
    </xf>
    <xf numFmtId="0" fontId="0" fillId="0" borderId="3" xfId="0" applyBorder="1" applyAlignment="1">
      <alignment vertical="center"/>
    </xf>
    <xf numFmtId="0" fontId="9" fillId="5" borderId="2" xfId="0" applyNumberFormat="1" applyFont="1" applyFill="1" applyBorder="1" applyAlignment="1" applyProtection="1">
      <alignment horizontal="left" vertical="center" wrapText="1"/>
    </xf>
    <xf numFmtId="0" fontId="9" fillId="5" borderId="17" xfId="0" applyNumberFormat="1" applyFont="1" applyFill="1" applyBorder="1" applyAlignment="1" applyProtection="1">
      <alignment horizontal="left" vertical="center" wrapText="1"/>
    </xf>
    <xf numFmtId="0" fontId="35" fillId="6" borderId="0" xfId="0" applyNumberFormat="1" applyFont="1" applyFill="1" applyBorder="1" applyAlignment="1" applyProtection="1">
      <alignment horizontal="left" vertical="top" wrapText="1"/>
    </xf>
    <xf numFmtId="10" fontId="7" fillId="2" borderId="7" xfId="0" applyNumberFormat="1" applyFont="1" applyFill="1" applyBorder="1" applyAlignment="1" applyProtection="1">
      <alignment horizontal="left" vertical="center"/>
    </xf>
    <xf numFmtId="0" fontId="24" fillId="2" borderId="0" xfId="0" applyNumberFormat="1" applyFont="1" applyFill="1" applyBorder="1" applyAlignment="1" applyProtection="1">
      <alignment horizontal="left" vertical="center"/>
    </xf>
    <xf numFmtId="0" fontId="21" fillId="6" borderId="0" xfId="0" applyNumberFormat="1" applyFont="1" applyFill="1" applyBorder="1" applyAlignment="1" applyProtection="1">
      <alignment horizontal="left" vertical="top" wrapText="1"/>
    </xf>
    <xf numFmtId="0" fontId="0" fillId="0" borderId="0" xfId="0" applyAlignment="1">
      <alignment horizontal="left" vertical="top" wrapText="1"/>
    </xf>
    <xf numFmtId="0" fontId="4" fillId="2" borderId="0" xfId="16" applyFont="1" applyFill="1" applyBorder="1" applyAlignment="1" applyProtection="1">
      <alignment horizontal="left" vertical="center"/>
    </xf>
    <xf numFmtId="0" fontId="0" fillId="0" borderId="0" xfId="0" applyAlignment="1"/>
    <xf numFmtId="0" fontId="0" fillId="0" borderId="0" xfId="0" applyAlignment="1">
      <alignment horizontal="left" vertical="center"/>
    </xf>
    <xf numFmtId="0" fontId="3" fillId="0" borderId="0" xfId="15" applyFont="1" applyProtection="1">
      <alignment horizontal="left"/>
    </xf>
    <xf numFmtId="10" fontId="13" fillId="7" borderId="15" xfId="22" applyNumberFormat="1" applyFont="1" applyFill="1" applyBorder="1" applyAlignment="1" applyProtection="1">
      <alignment horizontal="right"/>
    </xf>
    <xf numFmtId="10" fontId="13" fillId="7" borderId="16" xfId="22" applyNumberFormat="1" applyFont="1" applyFill="1" applyBorder="1" applyAlignment="1" applyProtection="1">
      <alignment horizontal="right"/>
    </xf>
    <xf numFmtId="10" fontId="13" fillId="7" borderId="8" xfId="22" applyNumberFormat="1" applyFont="1" applyFill="1" applyBorder="1" applyAlignment="1" applyProtection="1">
      <alignment horizontal="right"/>
    </xf>
    <xf numFmtId="10" fontId="13" fillId="7" borderId="14" xfId="22" applyNumberFormat="1" applyFont="1" applyFill="1" applyBorder="1" applyAlignment="1" applyProtection="1">
      <alignment horizontal="right"/>
    </xf>
    <xf numFmtId="10" fontId="13" fillId="7" borderId="11" xfId="22" applyNumberFormat="1" applyFont="1" applyFill="1" applyBorder="1" applyAlignment="1" applyProtection="1">
      <alignment horizontal="right"/>
    </xf>
  </cellXfs>
  <cellStyles count="23">
    <cellStyle name="Currency 2" xfId="19"/>
    <cellStyle name="Normal" xfId="0" builtinId="0"/>
    <cellStyle name="Normal 10" xfId="9"/>
    <cellStyle name="Normal 11" xfId="10"/>
    <cellStyle name="Normal 12" xfId="11"/>
    <cellStyle name="Normal 13" xfId="12"/>
    <cellStyle name="Normal 14" xfId="13"/>
    <cellStyle name="Normal 15" xfId="14"/>
    <cellStyle name="Normal 16" xfId="15"/>
    <cellStyle name="Normal 17" xfId="16"/>
    <cellStyle name="Normal 2" xfId="1"/>
    <cellStyle name="Normal 2 2" xfId="18"/>
    <cellStyle name="Normal 2 3" xfId="21"/>
    <cellStyle name="Normal 2 4" xfId="17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Percent" xfId="22" builtinId="5"/>
    <cellStyle name="Percent 2" xfId="20"/>
  </cellStyles>
  <dxfs count="4">
    <dxf>
      <fill>
        <patternFill>
          <bgColor rgb="FFACC2DF"/>
        </patternFill>
      </fill>
    </dxf>
    <dxf>
      <font>
        <b val="0"/>
        <i val="0"/>
        <color rgb="FFFFFFFF"/>
      </font>
      <fill>
        <patternFill>
          <bgColor rgb="FF4F6476"/>
        </patternFill>
      </fill>
    </dxf>
    <dxf>
      <font>
        <b/>
        <i/>
        <color rgb="FFFFFFFF"/>
      </font>
      <fill>
        <patternFill>
          <bgColor rgb="FF4F6476"/>
        </patternFill>
      </fill>
    </dxf>
    <dxf>
      <border>
        <left style="thin">
          <color rgb="FF0A3F54"/>
        </left>
        <right style="thin">
          <color rgb="FF0A3F54"/>
        </right>
        <top style="thin">
          <color rgb="FF0A3F54"/>
        </top>
        <bottom style="thin">
          <color rgb="FF0A3F54"/>
        </bottom>
      </border>
    </dxf>
  </dxfs>
  <tableStyles count="2" defaultTableStyle="TableStyleMedium2" defaultPivotStyle="PivotStyleLight16">
    <tableStyle name="McKinstry Table Style" count="4">
      <tableStyleElement type="wholeTable" dxfId="3"/>
      <tableStyleElement type="headerRow" dxfId="2"/>
      <tableStyleElement type="totalRow" dxfId="1"/>
      <tableStyleElement type="firstRowStripe" dxfId="0"/>
    </tableStyle>
    <tableStyle name="CostRev" pivot="0" count="0"/>
  </tableStyles>
  <colors>
    <mruColors>
      <color rgb="FFFAEDBF"/>
      <color rgb="FF231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1F19019981F746140BE1B2FB1ACA5E5F20C82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4366"/>
  <ax:ocxPr ax:name="Sizel_cy" ax:value="1746"/>
  <ax:ocxPr ax:name="IsDynamic" ax:value="0"/>
</ax:ocx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114300</xdr:rowOff>
        </xdr:from>
        <xdr:to>
          <xdr:col>4</xdr:col>
          <xdr:colOff>1962150</xdr:colOff>
          <xdr:row>3</xdr:row>
          <xdr:rowOff>161925</xdr:rowOff>
        </xdr:to>
        <xdr:sp macro="" textlink="">
          <xdr:nvSpPr>
            <xdr:cNvPr id="1025" name="_ActiveXWrapp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231F20">
                      <a:alpha val="60001"/>
                    </a:srgbClr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bn.mckinstry.com/DC/Project%20Support/Field%20Labor%20and%20Staff%20Rates.xlsx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AEDBF"/>
  </sheetPr>
  <dimension ref="A1:G51"/>
  <sheetViews>
    <sheetView showGridLines="0" zoomScaleNormal="100" workbookViewId="0">
      <selection activeCell="A3" sqref="A3:E3"/>
    </sheetView>
  </sheetViews>
  <sheetFormatPr defaultRowHeight="15" x14ac:dyDescent="0.25"/>
  <cols>
    <col min="1" max="1" width="33.375" style="10" customWidth="1"/>
    <col min="2" max="4" width="16.625" style="10" customWidth="1"/>
    <col min="5" max="5" width="17.625" style="10" customWidth="1"/>
    <col min="6" max="6" width="11.25" style="10" customWidth="1"/>
    <col min="7" max="7" width="69" style="10" customWidth="1"/>
    <col min="8" max="16384" width="9" style="10"/>
  </cols>
  <sheetData>
    <row r="1" spans="1:7" ht="26.25" x14ac:dyDescent="0.4">
      <c r="A1" s="11" t="s">
        <v>21</v>
      </c>
      <c r="D1" s="11"/>
    </row>
    <row r="3" spans="1:7" ht="21" customHeight="1" x14ac:dyDescent="0.25">
      <c r="A3" s="105" t="s">
        <v>22</v>
      </c>
      <c r="B3" s="106"/>
      <c r="C3" s="106"/>
      <c r="D3" s="106"/>
      <c r="E3" s="106"/>
      <c r="F3" s="12"/>
      <c r="G3" s="13" t="s">
        <v>23</v>
      </c>
    </row>
    <row r="4" spans="1:7" ht="19.5" customHeight="1" x14ac:dyDescent="0.25">
      <c r="A4" s="14" t="s">
        <v>24</v>
      </c>
      <c r="B4" s="15">
        <v>0</v>
      </c>
      <c r="D4" s="14" t="s">
        <v>25</v>
      </c>
      <c r="E4" s="16">
        <v>0</v>
      </c>
      <c r="G4" s="113" t="s">
        <v>26</v>
      </c>
    </row>
    <row r="5" spans="1:7" ht="19.5" customHeight="1" x14ac:dyDescent="0.25">
      <c r="A5" s="17" t="s">
        <v>27</v>
      </c>
      <c r="B5" s="15">
        <v>0</v>
      </c>
      <c r="D5" s="14" t="s">
        <v>28</v>
      </c>
      <c r="E5" s="16">
        <v>0</v>
      </c>
      <c r="F5" s="18"/>
      <c r="G5" s="113"/>
    </row>
    <row r="6" spans="1:7" ht="19.5" customHeight="1" x14ac:dyDescent="0.25">
      <c r="A6" s="14" t="s">
        <v>29</v>
      </c>
      <c r="B6" s="15">
        <v>0</v>
      </c>
      <c r="D6" s="14" t="s">
        <v>30</v>
      </c>
      <c r="E6" s="16">
        <v>0</v>
      </c>
      <c r="F6" s="18"/>
      <c r="G6" s="113"/>
    </row>
    <row r="7" spans="1:7" ht="19.5" customHeight="1" x14ac:dyDescent="0.25">
      <c r="A7" s="14" t="s">
        <v>31</v>
      </c>
      <c r="B7" s="19">
        <v>0</v>
      </c>
      <c r="D7" s="14" t="s">
        <v>32</v>
      </c>
      <c r="E7" s="16">
        <v>0</v>
      </c>
      <c r="F7" s="18"/>
      <c r="G7" s="113"/>
    </row>
    <row r="8" spans="1:7" ht="19.5" customHeight="1" x14ac:dyDescent="0.25">
      <c r="D8" s="14" t="s">
        <v>33</v>
      </c>
      <c r="E8" s="19">
        <v>0</v>
      </c>
      <c r="F8" s="18"/>
      <c r="G8" s="113"/>
    </row>
    <row r="9" spans="1:7" ht="19.5" customHeight="1" x14ac:dyDescent="0.25">
      <c r="C9" s="20"/>
      <c r="D9" s="21"/>
      <c r="E9" s="22"/>
      <c r="F9" s="18"/>
      <c r="G9" s="113"/>
    </row>
    <row r="10" spans="1:7" ht="19.5" customHeight="1" x14ac:dyDescent="0.25">
      <c r="C10" s="20"/>
      <c r="D10" s="21"/>
      <c r="E10" s="22"/>
      <c r="F10" s="23"/>
      <c r="G10" s="113"/>
    </row>
    <row r="11" spans="1:7" ht="21" customHeight="1" x14ac:dyDescent="0.25">
      <c r="A11" s="107" t="s">
        <v>34</v>
      </c>
      <c r="B11" s="107"/>
      <c r="C11" s="107"/>
      <c r="D11" s="107"/>
      <c r="E11" s="108"/>
      <c r="F11" s="24"/>
      <c r="G11" s="25"/>
    </row>
    <row r="12" spans="1:7" s="26" customFormat="1" ht="15.75" customHeight="1" thickBot="1" x14ac:dyDescent="0.35">
      <c r="A12" s="27"/>
      <c r="B12" s="114" t="s">
        <v>35</v>
      </c>
      <c r="C12" s="114"/>
      <c r="D12" s="114"/>
      <c r="F12" s="28"/>
      <c r="G12" s="29" t="s">
        <v>36</v>
      </c>
    </row>
    <row r="13" spans="1:7" s="30" customFormat="1" ht="15.75" thickBot="1" x14ac:dyDescent="0.25">
      <c r="A13" s="31"/>
      <c r="B13" s="32" t="s">
        <v>37</v>
      </c>
      <c r="C13" s="32" t="s">
        <v>38</v>
      </c>
      <c r="D13" s="32" t="s">
        <v>39</v>
      </c>
      <c r="E13" s="33"/>
      <c r="F13" s="34"/>
      <c r="G13" s="113" t="s">
        <v>40</v>
      </c>
    </row>
    <row r="14" spans="1:7" s="30" customFormat="1" ht="20.25" customHeight="1" thickBot="1" x14ac:dyDescent="0.3">
      <c r="A14" s="31"/>
      <c r="B14" s="35">
        <v>0.49</v>
      </c>
      <c r="C14" s="35">
        <v>0.185</v>
      </c>
      <c r="D14" s="35">
        <v>0.52</v>
      </c>
      <c r="E14" s="34"/>
      <c r="F14" s="36"/>
      <c r="G14" s="113"/>
    </row>
    <row r="15" spans="1:7" s="30" customFormat="1" x14ac:dyDescent="0.25">
      <c r="A15" s="31"/>
      <c r="B15" s="37"/>
      <c r="C15" s="37"/>
      <c r="D15" s="37"/>
      <c r="E15" s="34"/>
      <c r="F15" s="36"/>
      <c r="G15" s="113"/>
    </row>
    <row r="16" spans="1:7" ht="15.75" customHeight="1" x14ac:dyDescent="0.25">
      <c r="A16" s="38"/>
      <c r="B16" s="115" t="s">
        <v>41</v>
      </c>
      <c r="C16" s="115"/>
      <c r="D16" s="115"/>
      <c r="E16" s="39"/>
      <c r="F16" s="40"/>
      <c r="G16" s="113"/>
    </row>
    <row r="17" spans="1:7" s="30" customFormat="1" ht="25.5" customHeight="1" thickBot="1" x14ac:dyDescent="0.25">
      <c r="A17" s="31"/>
      <c r="B17" s="41" t="s">
        <v>37</v>
      </c>
      <c r="C17" s="41" t="s">
        <v>38</v>
      </c>
      <c r="D17" s="42" t="s">
        <v>39</v>
      </c>
      <c r="E17" s="34"/>
      <c r="F17" s="36"/>
      <c r="G17" s="43" t="s">
        <v>42</v>
      </c>
    </row>
    <row r="18" spans="1:7" s="30" customFormat="1" ht="21" customHeight="1" thickBot="1" x14ac:dyDescent="0.3">
      <c r="A18" s="44" t="s">
        <v>43</v>
      </c>
      <c r="B18" s="45">
        <v>0</v>
      </c>
      <c r="C18" s="45">
        <v>0</v>
      </c>
      <c r="D18" s="45">
        <v>0</v>
      </c>
      <c r="E18" s="46"/>
      <c r="F18" s="36"/>
      <c r="G18" s="47"/>
    </row>
    <row r="19" spans="1:7" s="30" customFormat="1" ht="21" customHeight="1" thickBot="1" x14ac:dyDescent="0.3">
      <c r="A19" s="44" t="s">
        <v>44</v>
      </c>
      <c r="B19" s="48" t="s">
        <v>45</v>
      </c>
      <c r="C19" s="45">
        <v>0</v>
      </c>
      <c r="D19" s="45">
        <v>0</v>
      </c>
      <c r="E19" s="46"/>
      <c r="F19" s="36"/>
      <c r="G19" s="49"/>
    </row>
    <row r="20" spans="1:7" s="30" customFormat="1" ht="21" customHeight="1" thickBot="1" x14ac:dyDescent="0.3">
      <c r="A20" s="44" t="s">
        <v>46</v>
      </c>
      <c r="B20" s="50">
        <f>SUM(B18:B19)</f>
        <v>0</v>
      </c>
      <c r="C20" s="50">
        <f>SUM(C18:C19)</f>
        <v>0</v>
      </c>
      <c r="D20" s="50">
        <f>SUM(D18:D19)</f>
        <v>0</v>
      </c>
      <c r="E20" s="34"/>
      <c r="F20" s="36"/>
      <c r="G20" s="47"/>
    </row>
    <row r="21" spans="1:7" s="51" customFormat="1" ht="21" customHeight="1" thickBot="1" x14ac:dyDescent="0.3">
      <c r="A21" s="44" t="s">
        <v>47</v>
      </c>
      <c r="B21" s="52">
        <f>B18*B14</f>
        <v>0</v>
      </c>
      <c r="C21" s="52">
        <f>C18*C14</f>
        <v>0</v>
      </c>
      <c r="D21" s="52">
        <f>(D18*C14)+(D18*D14)</f>
        <v>0</v>
      </c>
      <c r="F21" s="53"/>
      <c r="G21" s="49"/>
    </row>
    <row r="22" spans="1:7" s="51" customFormat="1" ht="21" customHeight="1" thickBot="1" x14ac:dyDescent="0.3">
      <c r="A22" s="54" t="s">
        <v>48</v>
      </c>
      <c r="B22" s="52">
        <f>B20+B21</f>
        <v>0</v>
      </c>
      <c r="C22" s="52">
        <f>C20+C21</f>
        <v>0</v>
      </c>
      <c r="D22" s="52">
        <f>D20+D21</f>
        <v>0</v>
      </c>
      <c r="F22" s="53"/>
      <c r="G22" s="49"/>
    </row>
    <row r="23" spans="1:7" s="51" customFormat="1" ht="21" customHeight="1" x14ac:dyDescent="0.25">
      <c r="A23" s="54"/>
      <c r="B23" s="55"/>
      <c r="C23" s="55"/>
      <c r="D23" s="55"/>
      <c r="F23" s="53"/>
      <c r="G23" s="49"/>
    </row>
    <row r="24" spans="1:7" s="56" customFormat="1" ht="21" customHeight="1" x14ac:dyDescent="0.2">
      <c r="A24" s="105" t="s">
        <v>17</v>
      </c>
      <c r="B24" s="108"/>
      <c r="C24" s="108"/>
      <c r="D24" s="108"/>
      <c r="E24" s="108"/>
      <c r="F24" s="57"/>
      <c r="G24" s="49"/>
    </row>
    <row r="25" spans="1:7" s="51" customFormat="1" ht="21" customHeight="1" thickBot="1" x14ac:dyDescent="0.3">
      <c r="A25" s="58" t="s">
        <v>49</v>
      </c>
      <c r="B25" s="59">
        <v>0</v>
      </c>
      <c r="C25" s="60"/>
      <c r="D25" s="60"/>
      <c r="E25" s="60"/>
      <c r="F25" s="60"/>
      <c r="G25" s="49"/>
    </row>
    <row r="26" spans="1:7" s="51" customFormat="1" ht="21" customHeight="1" x14ac:dyDescent="0.25">
      <c r="A26" s="61" t="s">
        <v>50</v>
      </c>
      <c r="B26" s="62">
        <v>0</v>
      </c>
      <c r="C26" s="60"/>
      <c r="D26" s="60"/>
      <c r="E26" s="60"/>
      <c r="F26" s="60"/>
      <c r="G26" s="49"/>
    </row>
    <row r="27" spans="1:7" s="51" customFormat="1" ht="21" customHeight="1" x14ac:dyDescent="0.25">
      <c r="A27" s="109" t="s">
        <v>51</v>
      </c>
      <c r="B27" s="110"/>
      <c r="C27" s="110"/>
      <c r="D27" s="110"/>
      <c r="E27" s="110"/>
      <c r="F27" s="64"/>
      <c r="G27" s="49"/>
    </row>
    <row r="28" spans="1:7" s="51" customFormat="1" ht="21" customHeight="1" x14ac:dyDescent="0.25">
      <c r="A28" s="58" t="s">
        <v>52</v>
      </c>
      <c r="B28" s="65">
        <v>0</v>
      </c>
      <c r="C28" s="63"/>
      <c r="D28" s="63"/>
      <c r="E28" s="63"/>
      <c r="F28" s="63"/>
      <c r="G28" s="49"/>
    </row>
    <row r="29" spans="1:7" s="51" customFormat="1" ht="21" customHeight="1" x14ac:dyDescent="0.25">
      <c r="A29" s="66" t="s">
        <v>53</v>
      </c>
      <c r="B29" s="67">
        <v>0</v>
      </c>
      <c r="C29" s="63"/>
      <c r="D29" s="63"/>
      <c r="E29" s="63"/>
      <c r="F29" s="63"/>
      <c r="G29" s="49"/>
    </row>
    <row r="30" spans="1:7" s="51" customFormat="1" ht="21" customHeight="1" x14ac:dyDescent="0.25">
      <c r="A30" s="68" t="s">
        <v>54</v>
      </c>
      <c r="B30" s="69">
        <v>0</v>
      </c>
      <c r="C30" s="63"/>
      <c r="D30" s="63"/>
      <c r="E30" s="63"/>
      <c r="F30" s="63"/>
      <c r="G30" s="49"/>
    </row>
    <row r="31" spans="1:7" s="56" customFormat="1" ht="21" customHeight="1" x14ac:dyDescent="0.3">
      <c r="A31" s="103" t="s">
        <v>55</v>
      </c>
      <c r="B31" s="103"/>
      <c r="C31" s="103"/>
      <c r="D31" s="103"/>
      <c r="E31" s="103"/>
      <c r="F31" s="70"/>
      <c r="G31" s="29" t="s">
        <v>56</v>
      </c>
    </row>
    <row r="32" spans="1:7" s="56" customFormat="1" ht="26.25" customHeight="1" thickBot="1" x14ac:dyDescent="0.25">
      <c r="A32" s="71"/>
      <c r="B32" s="72" t="s">
        <v>57</v>
      </c>
      <c r="C32" s="73" t="s">
        <v>58</v>
      </c>
      <c r="D32" s="72" t="s">
        <v>59</v>
      </c>
      <c r="E32" s="72" t="s">
        <v>60</v>
      </c>
      <c r="F32" s="74"/>
      <c r="G32" s="116" t="s">
        <v>61</v>
      </c>
    </row>
    <row r="33" spans="1:7" s="56" customFormat="1" ht="21" customHeight="1" thickBot="1" x14ac:dyDescent="0.25">
      <c r="A33" s="75" t="s">
        <v>62</v>
      </c>
      <c r="B33" s="76">
        <f>(B29*C14*C18)+(B30*C14*D18)</f>
        <v>0</v>
      </c>
      <c r="C33" s="77">
        <f>(B29+B30)*C20*B5</f>
        <v>0</v>
      </c>
      <c r="D33" s="77">
        <f>C33 - B33</f>
        <v>0</v>
      </c>
      <c r="E33" s="126" t="e">
        <f>D33/B25</f>
        <v>#DIV/0!</v>
      </c>
      <c r="G33" s="117"/>
    </row>
    <row r="34" spans="1:7" s="56" customFormat="1" ht="21" customHeight="1" thickBot="1" x14ac:dyDescent="0.25">
      <c r="A34" s="75" t="s">
        <v>63</v>
      </c>
      <c r="B34" s="78">
        <f>B28*B14*B18</f>
        <v>0</v>
      </c>
      <c r="C34" s="77">
        <f>B28*B18*B4</f>
        <v>0</v>
      </c>
      <c r="D34" s="77">
        <f>C34 - B34</f>
        <v>0</v>
      </c>
      <c r="E34" s="126" t="e">
        <f>D34/B25</f>
        <v>#DIV/0!</v>
      </c>
      <c r="G34" s="117"/>
    </row>
    <row r="35" spans="1:7" s="56" customFormat="1" ht="21" customHeight="1" thickBot="1" x14ac:dyDescent="0.25">
      <c r="A35" s="79" t="s">
        <v>64</v>
      </c>
      <c r="B35" s="80">
        <f>B30*D14*D18</f>
        <v>0</v>
      </c>
      <c r="C35" s="81">
        <f>B30*D20*B6</f>
        <v>0</v>
      </c>
      <c r="D35" s="81">
        <f>C35 - B35</f>
        <v>0</v>
      </c>
      <c r="E35" s="126" t="e">
        <f>D35/B25</f>
        <v>#DIV/0!</v>
      </c>
      <c r="G35" s="117"/>
    </row>
    <row r="36" spans="1:7" s="56" customFormat="1" ht="21" customHeight="1" x14ac:dyDescent="0.2">
      <c r="A36" s="111" t="s">
        <v>65</v>
      </c>
      <c r="B36" s="111"/>
      <c r="C36" s="111"/>
      <c r="D36" s="111"/>
      <c r="E36" s="112"/>
      <c r="G36" s="117"/>
    </row>
    <row r="37" spans="1:7" s="56" customFormat="1" ht="21" customHeight="1" thickBot="1" x14ac:dyDescent="0.25">
      <c r="A37" s="82" t="s">
        <v>66</v>
      </c>
      <c r="B37" s="83"/>
      <c r="C37" s="83"/>
      <c r="D37" s="84">
        <v>0</v>
      </c>
      <c r="E37" s="122" t="e">
        <f>D37/B25</f>
        <v>#DIV/0!</v>
      </c>
      <c r="G37" s="117"/>
    </row>
    <row r="38" spans="1:7" s="56" customFormat="1" ht="21" customHeight="1" thickBot="1" x14ac:dyDescent="0.25">
      <c r="A38" s="82" t="s">
        <v>67</v>
      </c>
      <c r="B38" s="85">
        <v>0</v>
      </c>
      <c r="C38" s="86"/>
      <c r="D38" s="87">
        <f>B25*B38</f>
        <v>0</v>
      </c>
      <c r="E38" s="123" t="e">
        <f>-D38/B25</f>
        <v>#DIV/0!</v>
      </c>
      <c r="G38" s="117"/>
    </row>
    <row r="39" spans="1:7" s="56" customFormat="1" ht="21" customHeight="1" thickBot="1" x14ac:dyDescent="0.25">
      <c r="A39" s="82" t="s">
        <v>30</v>
      </c>
      <c r="B39" s="88">
        <v>0</v>
      </c>
      <c r="C39" s="89">
        <f>E6*B26</f>
        <v>0</v>
      </c>
      <c r="D39" s="87">
        <f>C39-B39</f>
        <v>0</v>
      </c>
      <c r="E39" s="122" t="e">
        <f>D39/B25</f>
        <v>#DIV/0!</v>
      </c>
      <c r="G39" s="117"/>
    </row>
    <row r="40" spans="1:7" s="56" customFormat="1" ht="21" customHeight="1" thickBot="1" x14ac:dyDescent="0.25">
      <c r="A40" s="82" t="s">
        <v>68</v>
      </c>
      <c r="B40" s="90"/>
      <c r="C40" s="90"/>
      <c r="D40" s="91">
        <v>0</v>
      </c>
      <c r="E40" s="124"/>
      <c r="G40" s="117"/>
    </row>
    <row r="41" spans="1:7" s="56" customFormat="1" ht="21" customHeight="1" thickBot="1" x14ac:dyDescent="0.25">
      <c r="A41" s="92" t="s">
        <v>69</v>
      </c>
      <c r="B41" s="90"/>
      <c r="C41" s="90"/>
      <c r="D41" s="91">
        <v>0</v>
      </c>
      <c r="E41" s="123" t="e">
        <f>-D41/B25</f>
        <v>#DIV/0!</v>
      </c>
      <c r="G41" s="117"/>
    </row>
    <row r="42" spans="1:7" s="56" customFormat="1" ht="21" customHeight="1" thickBot="1" x14ac:dyDescent="0.25">
      <c r="A42" s="93" t="s">
        <v>70</v>
      </c>
      <c r="B42" s="94">
        <v>2.0000000000000001E-4</v>
      </c>
      <c r="C42" s="95">
        <v>0</v>
      </c>
      <c r="D42" s="77"/>
      <c r="E42" s="124"/>
      <c r="G42" s="117"/>
    </row>
    <row r="43" spans="1:7" s="56" customFormat="1" ht="21" customHeight="1" thickBot="1" x14ac:dyDescent="0.25">
      <c r="A43" s="82" t="s">
        <v>71</v>
      </c>
      <c r="B43" s="94">
        <v>2.9999999999999997E-4</v>
      </c>
      <c r="C43" s="94">
        <v>0</v>
      </c>
      <c r="D43" s="77"/>
      <c r="E43" s="124"/>
      <c r="G43" s="117"/>
    </row>
    <row r="44" spans="1:7" s="56" customFormat="1" ht="21" customHeight="1" thickBot="1" x14ac:dyDescent="0.25">
      <c r="A44" s="82" t="s">
        <v>32</v>
      </c>
      <c r="B44" s="91">
        <f>B25*E44</f>
        <v>0</v>
      </c>
      <c r="C44" s="90"/>
      <c r="D44" s="77">
        <f>+B44+C44</f>
        <v>0</v>
      </c>
      <c r="E44" s="124">
        <v>1.5E-3</v>
      </c>
      <c r="G44" s="117"/>
    </row>
    <row r="45" spans="1:7" s="56" customFormat="1" ht="21" customHeight="1" x14ac:dyDescent="0.2">
      <c r="A45" s="82" t="s">
        <v>33</v>
      </c>
      <c r="B45" s="96">
        <v>0</v>
      </c>
      <c r="C45" s="97">
        <v>0</v>
      </c>
      <c r="D45" s="81">
        <f>C45-B45</f>
        <v>0</v>
      </c>
      <c r="E45" s="125" t="e">
        <f>-B45/B25</f>
        <v>#DIV/0!</v>
      </c>
      <c r="G45" s="117"/>
    </row>
    <row r="46" spans="1:7" s="56" customFormat="1" ht="21" customHeight="1" x14ac:dyDescent="0.3">
      <c r="A46" s="103" t="s">
        <v>72</v>
      </c>
      <c r="B46" s="103"/>
      <c r="C46" s="103"/>
      <c r="D46" s="103"/>
      <c r="E46" s="103"/>
      <c r="G46" s="29" t="s">
        <v>73</v>
      </c>
    </row>
    <row r="47" spans="1:7" s="51" customFormat="1" ht="22.5" customHeight="1" x14ac:dyDescent="0.25">
      <c r="A47" s="98" t="s">
        <v>74</v>
      </c>
      <c r="B47" s="99">
        <f>B25+D37+D38+D40+D42+D44+D45</f>
        <v>0</v>
      </c>
      <c r="G47" s="104" t="s">
        <v>75</v>
      </c>
    </row>
    <row r="48" spans="1:7" s="51" customFormat="1" ht="22.5" customHeight="1" x14ac:dyDescent="0.25">
      <c r="A48" s="98" t="s">
        <v>18</v>
      </c>
      <c r="B48" s="101" t="e">
        <f>B7 + SUM(E33:E45)</f>
        <v>#DIV/0!</v>
      </c>
      <c r="F48" s="100"/>
      <c r="G48" s="104"/>
    </row>
    <row r="49" spans="1:7" s="51" customFormat="1" ht="22.5" customHeight="1" x14ac:dyDescent="0.25">
      <c r="A49" s="98" t="s">
        <v>76</v>
      </c>
      <c r="B49" s="99" t="e">
        <f>B47*B48</f>
        <v>#DIV/0!</v>
      </c>
      <c r="F49" s="100"/>
      <c r="G49" s="104"/>
    </row>
    <row r="50" spans="1:7" s="51" customFormat="1" ht="22.5" customHeight="1" x14ac:dyDescent="0.25">
      <c r="A50" s="98" t="s">
        <v>19</v>
      </c>
      <c r="B50" s="101" t="e">
        <f>(B48*B25)/(B25*(1+B48))</f>
        <v>#DIV/0!</v>
      </c>
      <c r="F50" s="100"/>
      <c r="G50" s="104"/>
    </row>
    <row r="51" spans="1:7" s="51" customFormat="1" ht="22.5" customHeight="1" x14ac:dyDescent="0.25">
      <c r="A51" s="98" t="s">
        <v>77</v>
      </c>
      <c r="B51" s="99" t="e">
        <f>B47+B49</f>
        <v>#DIV/0!</v>
      </c>
      <c r="G51" s="102"/>
    </row>
  </sheetData>
  <dataConsolidate/>
  <mergeCells count="13">
    <mergeCell ref="A46:E46"/>
    <mergeCell ref="G47:G50"/>
    <mergeCell ref="A3:E3"/>
    <mergeCell ref="A11:E11"/>
    <mergeCell ref="A24:E24"/>
    <mergeCell ref="A27:E27"/>
    <mergeCell ref="A36:E36"/>
    <mergeCell ref="G4:G10"/>
    <mergeCell ref="B12:D12"/>
    <mergeCell ref="G13:G16"/>
    <mergeCell ref="B16:D16"/>
    <mergeCell ref="A31:E31"/>
    <mergeCell ref="G32:G45"/>
  </mergeCells>
  <hyperlinks>
    <hyperlink ref="G17" r:id="rId1" display="http://bn.mckinstry.com/DC/Project Support/Field Labor and Staff Rates.xlsx"/>
  </hyperlinks>
  <pageMargins left="0.7" right="0.7" top="0.75" bottom="0.75" header="0.3" footer="0.3"/>
  <pageSetup orientation="portrait" verticalDpi="0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2"/>
  <sheetViews>
    <sheetView showGridLines="0" tabSelected="1" workbookViewId="0">
      <selection activeCell="D5" sqref="D5"/>
    </sheetView>
  </sheetViews>
  <sheetFormatPr defaultRowHeight="15" x14ac:dyDescent="0.25"/>
  <cols>
    <col min="1" max="1" width="19" customWidth="1"/>
    <col min="2" max="2" width="46.875" customWidth="1"/>
    <col min="3" max="4" width="21.75" customWidth="1"/>
    <col min="5" max="5" width="30" customWidth="1"/>
    <col min="6" max="7" width="20.75" customWidth="1"/>
    <col min="8" max="8" width="12.125" customWidth="1"/>
  </cols>
  <sheetData>
    <row r="1" spans="1:6" ht="33.75" customHeight="1" x14ac:dyDescent="0.4">
      <c r="A1" s="121" t="s">
        <v>12</v>
      </c>
      <c r="B1" s="121"/>
      <c r="C1" s="121"/>
      <c r="D1" s="121"/>
      <c r="E1" s="121"/>
      <c r="F1" s="121"/>
    </row>
    <row r="3" spans="1:6" ht="30.75" customHeight="1" x14ac:dyDescent="0.25">
      <c r="A3" s="118" t="s">
        <v>14</v>
      </c>
      <c r="B3" s="120"/>
      <c r="C3" s="5"/>
      <c r="D3" s="5"/>
    </row>
    <row r="4" spans="1:6" x14ac:dyDescent="0.25">
      <c r="A4" t="s">
        <v>13</v>
      </c>
    </row>
    <row r="5" spans="1:6" x14ac:dyDescent="0.25">
      <c r="A5" t="s">
        <v>1</v>
      </c>
      <c r="B5" s="3"/>
    </row>
    <row r="6" spans="1:6" x14ac:dyDescent="0.25">
      <c r="A6" t="s">
        <v>2</v>
      </c>
      <c r="B6" s="1" t="s">
        <v>8</v>
      </c>
    </row>
    <row r="7" spans="1:6" ht="16.5" customHeight="1" x14ac:dyDescent="0.25"/>
    <row r="8" spans="1:6" ht="31.5" customHeight="1" x14ac:dyDescent="0.25">
      <c r="A8" s="118" t="s">
        <v>15</v>
      </c>
      <c r="B8" s="120"/>
      <c r="C8" s="5"/>
      <c r="D8" s="5"/>
    </row>
    <row r="9" spans="1:6" x14ac:dyDescent="0.25">
      <c r="A9" s="4" t="s">
        <v>9</v>
      </c>
      <c r="B9" s="4" t="s">
        <v>11</v>
      </c>
    </row>
    <row r="10" spans="1:6" x14ac:dyDescent="0.25">
      <c r="A10" s="9"/>
      <c r="B10" s="1"/>
    </row>
    <row r="11" spans="1:6" ht="30" customHeight="1" x14ac:dyDescent="0.25">
      <c r="A11" s="4" t="s">
        <v>10</v>
      </c>
      <c r="B11" s="4" t="s">
        <v>11</v>
      </c>
    </row>
    <row r="12" spans="1:6" ht="16.5" customHeight="1" x14ac:dyDescent="0.25">
      <c r="A12" s="9"/>
      <c r="B12" s="1"/>
    </row>
    <row r="14" spans="1:6" ht="31.5" customHeight="1" x14ac:dyDescent="0.25">
      <c r="A14" s="118" t="s">
        <v>20</v>
      </c>
      <c r="B14" s="119"/>
      <c r="C14" s="119"/>
      <c r="D14" s="119"/>
      <c r="E14" s="119"/>
    </row>
    <row r="15" spans="1:6" x14ac:dyDescent="0.25">
      <c r="A15" s="4" t="s">
        <v>0</v>
      </c>
      <c r="B15" s="4" t="s">
        <v>3</v>
      </c>
      <c r="C15" s="6" t="s">
        <v>4</v>
      </c>
      <c r="D15" s="6" t="s">
        <v>5</v>
      </c>
      <c r="E15" s="4" t="s">
        <v>16</v>
      </c>
    </row>
    <row r="16" spans="1:6" x14ac:dyDescent="0.25">
      <c r="C16" s="3"/>
      <c r="D16" s="3"/>
    </row>
    <row r="17" spans="1:7" x14ac:dyDescent="0.25">
      <c r="C17" s="7"/>
      <c r="D17" s="7"/>
    </row>
    <row r="18" spans="1:7" x14ac:dyDescent="0.25">
      <c r="A18" s="4" t="s">
        <v>6</v>
      </c>
      <c r="B18" s="4" t="s">
        <v>7</v>
      </c>
      <c r="C18" s="6" t="s">
        <v>4</v>
      </c>
      <c r="D18" s="6" t="s">
        <v>5</v>
      </c>
      <c r="E18" s="4" t="s">
        <v>16</v>
      </c>
    </row>
    <row r="19" spans="1:7" x14ac:dyDescent="0.25">
      <c r="C19" s="8" t="s">
        <v>8</v>
      </c>
      <c r="D19" s="8" t="s">
        <v>8</v>
      </c>
    </row>
    <row r="20" spans="1:7" x14ac:dyDescent="0.25">
      <c r="C20" s="8" t="s">
        <v>8</v>
      </c>
      <c r="D20" s="8" t="s">
        <v>8</v>
      </c>
    </row>
    <row r="21" spans="1:7" x14ac:dyDescent="0.25">
      <c r="C21" s="8" t="s">
        <v>8</v>
      </c>
      <c r="D21" s="8" t="s">
        <v>8</v>
      </c>
    </row>
    <row r="22" spans="1:7" x14ac:dyDescent="0.25">
      <c r="C22" s="8" t="s">
        <v>8</v>
      </c>
      <c r="D22" s="8" t="s">
        <v>8</v>
      </c>
    </row>
    <row r="23" spans="1:7" x14ac:dyDescent="0.25">
      <c r="C23" s="8" t="s">
        <v>8</v>
      </c>
      <c r="D23" s="8" t="s">
        <v>8</v>
      </c>
    </row>
    <row r="24" spans="1:7" x14ac:dyDescent="0.25">
      <c r="C24" s="8" t="s">
        <v>8</v>
      </c>
      <c r="D24" s="8" t="s">
        <v>8</v>
      </c>
    </row>
    <row r="25" spans="1:7" x14ac:dyDescent="0.25">
      <c r="C25" s="8" t="s">
        <v>8</v>
      </c>
      <c r="D25" s="8" t="s">
        <v>8</v>
      </c>
    </row>
    <row r="26" spans="1:7" x14ac:dyDescent="0.25">
      <c r="C26" s="8" t="s">
        <v>8</v>
      </c>
      <c r="D26" s="8" t="s">
        <v>8</v>
      </c>
    </row>
    <row r="27" spans="1:7" x14ac:dyDescent="0.25">
      <c r="C27" s="8" t="s">
        <v>8</v>
      </c>
      <c r="D27" s="8" t="s">
        <v>8</v>
      </c>
      <c r="F27" s="2"/>
      <c r="G27" s="2"/>
    </row>
    <row r="28" spans="1:7" x14ac:dyDescent="0.25">
      <c r="C28" s="8" t="s">
        <v>8</v>
      </c>
      <c r="D28" s="8" t="s">
        <v>8</v>
      </c>
      <c r="F28" s="2"/>
      <c r="G28" s="2"/>
    </row>
    <row r="29" spans="1:7" x14ac:dyDescent="0.25">
      <c r="C29" s="7"/>
      <c r="D29" s="7"/>
      <c r="F29" s="2"/>
      <c r="G29" s="2"/>
    </row>
    <row r="30" spans="1:7" x14ac:dyDescent="0.25">
      <c r="C30" s="7"/>
      <c r="D30" s="7"/>
      <c r="F30" s="2"/>
      <c r="G30" s="2"/>
    </row>
    <row r="31" spans="1:7" x14ac:dyDescent="0.25">
      <c r="C31" s="7"/>
      <c r="D31" s="7"/>
    </row>
    <row r="32" spans="1:7" x14ac:dyDescent="0.25">
      <c r="C32" s="7"/>
      <c r="D32" s="7"/>
    </row>
    <row r="33" spans="3:4" x14ac:dyDescent="0.25">
      <c r="C33" s="7"/>
      <c r="D33" s="7"/>
    </row>
    <row r="34" spans="3:4" x14ac:dyDescent="0.25">
      <c r="C34" s="7"/>
      <c r="D34" s="7"/>
    </row>
    <row r="35" spans="3:4" x14ac:dyDescent="0.25">
      <c r="C35" s="7"/>
      <c r="D35" s="7"/>
    </row>
    <row r="36" spans="3:4" x14ac:dyDescent="0.25">
      <c r="C36" s="7"/>
      <c r="D36" s="7"/>
    </row>
    <row r="37" spans="3:4" x14ac:dyDescent="0.25">
      <c r="C37" s="7"/>
      <c r="D37" s="7"/>
    </row>
    <row r="38" spans="3:4" x14ac:dyDescent="0.25">
      <c r="C38" s="7"/>
      <c r="D38" s="7"/>
    </row>
    <row r="39" spans="3:4" x14ac:dyDescent="0.25">
      <c r="C39" s="7"/>
      <c r="D39" s="7"/>
    </row>
    <row r="40" spans="3:4" x14ac:dyDescent="0.25">
      <c r="C40" s="7"/>
      <c r="D40" s="7"/>
    </row>
    <row r="41" spans="3:4" x14ac:dyDescent="0.25">
      <c r="C41" s="7"/>
      <c r="D41" s="7"/>
    </row>
    <row r="42" spans="3:4" x14ac:dyDescent="0.25">
      <c r="C42" s="7"/>
      <c r="D42" s="7"/>
    </row>
  </sheetData>
  <dataConsolidate/>
  <mergeCells count="4">
    <mergeCell ref="A14:E14"/>
    <mergeCell ref="A3:B3"/>
    <mergeCell ref="A8:B8"/>
    <mergeCell ref="A1:F1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_ActiveXWrapper1">
          <controlPr defaultSize="0" autoLine="0" r:id="rId5">
            <anchor moveWithCells="1">
              <from>
                <xdr:col>4</xdr:col>
                <xdr:colOff>390525</xdr:colOff>
                <xdr:row>1</xdr:row>
                <xdr:rowOff>114300</xdr:rowOff>
              </from>
              <to>
                <xdr:col>4</xdr:col>
                <xdr:colOff>1962150</xdr:colOff>
                <xdr:row>3</xdr:row>
                <xdr:rowOff>161925</xdr:rowOff>
              </to>
            </anchor>
          </controlPr>
        </control>
      </mc:Choice>
      <mc:Fallback>
        <control shapeId="1025" r:id="rId4" name="_ActiveXWrappe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28</vt:i4>
      </vt:variant>
    </vt:vector>
  </HeadingPairs>
  <TitlesOfParts>
    <vt:vector size="30" baseType="lpstr">
      <vt:lpstr>GMAX</vt:lpstr>
      <vt:lpstr>Control</vt:lpstr>
      <vt:lpstr>ActualStaffBurden</vt:lpstr>
      <vt:lpstr>BandO</vt:lpstr>
      <vt:lpstr>BaseFee</vt:lpstr>
      <vt:lpstr>Bond</vt:lpstr>
      <vt:lpstr>ContractActualFieldBurden</vt:lpstr>
      <vt:lpstr>ContractLastPost</vt:lpstr>
      <vt:lpstr>ContractLastSave</vt:lpstr>
      <vt:lpstr>ContractName</vt:lpstr>
      <vt:lpstr>ContractNumber</vt:lpstr>
      <vt:lpstr>ContractShopBurden</vt:lpstr>
      <vt:lpstr>ContractUserName</vt:lpstr>
      <vt:lpstr>CostBatchId</vt:lpstr>
      <vt:lpstr>CostJectMonth</vt:lpstr>
      <vt:lpstr>GLI</vt:lpstr>
      <vt:lpstr>ProjCost</vt:lpstr>
      <vt:lpstr>ProjHours</vt:lpstr>
      <vt:lpstr>RevBatchId</vt:lpstr>
      <vt:lpstr>RevJectMonth</vt:lpstr>
      <vt:lpstr>SmallTools</vt:lpstr>
      <vt:lpstr>TB_Field</vt:lpstr>
      <vt:lpstr>TB_Shop</vt:lpstr>
      <vt:lpstr>TB_Staff</vt:lpstr>
      <vt:lpstr>TimeLastRefresh</vt:lpstr>
      <vt:lpstr>TimeOpening</vt:lpstr>
      <vt:lpstr>UF_Field</vt:lpstr>
      <vt:lpstr>UF_Shop</vt:lpstr>
      <vt:lpstr>ViewpointLogin</vt:lpstr>
      <vt:lpstr>Warranty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Orebaugh</dc:creator>
  <cp:lastModifiedBy>Leo Gurdian</cp:lastModifiedBy>
  <dcterms:created xsi:type="dcterms:W3CDTF">2016-02-18T15:52:26Z</dcterms:created>
  <dcterms:modified xsi:type="dcterms:W3CDTF">2016-10-12T18:00:41Z</dcterms:modified>
</cp:coreProperties>
</file>