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workbookPr codeName="ThisWorkbook" defaultThemeVersion="164011"/>
  <mc:AlternateContent xmlns:mc="http://schemas.openxmlformats.org/markup-compatibility/2006">
    <mc:Choice Requires="x15">
      <x15ac:absPath xmlns:x15ac="http://schemas.microsoft.com/office/spreadsheetml/2010/11/ac" url="C:\Users\leoG\Source\Workspaces\MckGMA\McK.GMA.Viewpoint\"/>
    </mc:Choice>
  </mc:AlternateContent>
  <bookViews>
    <workbookView xWindow="0" yWindow="0" windowWidth="14625" windowHeight="3300" firstSheet="1" activeTab="1"/>
  </bookViews>
  <sheets>
    <sheet name="Summary" sheetId="3" state="hidden" r:id="rId1"/>
    <sheet name="MCK Gross Margin" sheetId="2" r:id="rId2"/>
    <sheet name="BLANK-GMA-" sheetId="4" state="hidden" r:id="rId3"/>
  </sheets>
  <definedNames>
    <definedName name="ActualStaffBurden" localSheetId="2">'BLANK-GMA-'!$B$4</definedName>
    <definedName name="ActualStaffBurden" localSheetId="1">'MCK Gross Margin'!$B$4</definedName>
    <definedName name="assumptions" localSheetId="2">'BLANK-GMA-'!$B$10</definedName>
    <definedName name="assumptions" localSheetId="1">'MCK Gross Margin'!$B$10</definedName>
    <definedName name="BandO" localSheetId="2">'BLANK-GMA-'!$E$4</definedName>
    <definedName name="BandO" localSheetId="1">'MCK Gross Margin'!$E$4</definedName>
    <definedName name="BaseFee" localSheetId="2">'BLANK-GMA-'!$B$7</definedName>
    <definedName name="BaseFee" localSheetId="1">'MCK Gross Margin'!$B$7</definedName>
    <definedName name="Bond" localSheetId="2">'BLANK-GMA-'!$E$8</definedName>
    <definedName name="Bond" localSheetId="1">'MCK Gross Margin'!$E$8</definedName>
    <definedName name="BondAmt" localSheetId="2">'BLANK-GMA-'!$B$48</definedName>
    <definedName name="BondAmt" localSheetId="1">'MCK Gross Margin'!$B$48</definedName>
    <definedName name="ContractActualFieldBurden" localSheetId="2">'BLANK-GMA-'!$B$5</definedName>
    <definedName name="ContractActualFieldBurden" localSheetId="1">'MCK Gross Margin'!$B$5</definedName>
    <definedName name="ContractShopBurden" localSheetId="2">'BLANK-GMA-'!$B$6</definedName>
    <definedName name="ContractShopBurden" localSheetId="1">'MCK Gross Margin'!$B$6</definedName>
    <definedName name="EquipCost" localSheetId="2">'BLANK-GMA-'!$B$41</definedName>
    <definedName name="EquipCost" localSheetId="1">'MCK Gross Margin'!$B$41</definedName>
    <definedName name="Field_HRS" localSheetId="2">'BLANK-GMA-'!$B$32</definedName>
    <definedName name="Field_HRS" localSheetId="1">'MCK Gross Margin'!$B$32</definedName>
    <definedName name="Field_HRS_1" localSheetId="2">'BLANK-GMA-'!$C$32</definedName>
    <definedName name="Field_HRS_1" localSheetId="1">'MCK Gross Margin'!$C$32</definedName>
    <definedName name="GLI" localSheetId="2">'BLANK-GMA-'!$E$5</definedName>
    <definedName name="GLI" localSheetId="1">'MCK Gross Margin'!$E$5</definedName>
    <definedName name="JECTED_FINAL_CONTRACT_PRG" localSheetId="2">'BLANK-GMA-'!$B$59</definedName>
    <definedName name="JECTED_FINAL_CONTRACT_PRG" localSheetId="1">'MCK Gross Margin'!$B$59</definedName>
    <definedName name="ProjFinalCost" localSheetId="2">'BLANK-GMA-'!$B$28</definedName>
    <definedName name="ProjFinalCost" localSheetId="1">'MCK Gross Margin'!$B$28</definedName>
    <definedName name="ProjHours" localSheetId="2">'BLANK-GMA-'!$B$25</definedName>
    <definedName name="ProjHours" localSheetId="1">'MCK Gross Margin'!$B$25</definedName>
    <definedName name="ProjLabrCost" localSheetId="2">'BLANK-GMA-'!$B$26</definedName>
    <definedName name="ProjLabrCost" localSheetId="1">'MCK Gross Margin'!$B$26</definedName>
    <definedName name="ProjNonLCost" localSheetId="2">'BLANK-GMA-'!$B$27</definedName>
    <definedName name="ProjNonLCost" localSheetId="1">'MCK Gross Margin'!$B$27</definedName>
    <definedName name="Shop_HRS" localSheetId="2">'BLANK-GMA-'!$B$33</definedName>
    <definedName name="Shop_HRS" localSheetId="1">'MCK Gross Margin'!$B$33</definedName>
    <definedName name="Shop_HRS_1" localSheetId="2">'BLANK-GMA-'!$C$33</definedName>
    <definedName name="Shop_HRS_1" localSheetId="1">'MCK Gross Margin'!$C$33</definedName>
    <definedName name="Shop_Labor_Rate" localSheetId="2">'BLANK-GMA-'!$D$14</definedName>
    <definedName name="Shop_Labor_Rate" localSheetId="1">'MCK Gross Margin'!$D$14</definedName>
    <definedName name="SmallTools" localSheetId="2">'BLANK-GMA-'!$E$6</definedName>
    <definedName name="SmallTools" localSheetId="1">'MCK Gross Margin'!$E$6</definedName>
    <definedName name="SmallTools_CST" localSheetId="2">'BLANK-GMA-'!$B$42</definedName>
    <definedName name="SmallTools_CST" localSheetId="1">'MCK Gross Margin'!$B$42</definedName>
    <definedName name="Staff_HRS" localSheetId="2">'BLANK-GMA-'!$B$31</definedName>
    <definedName name="Staff_HRS" localSheetId="1">'MCK Gross Margin'!$B$31</definedName>
    <definedName name="Staff_HRS_1" localSheetId="2">'BLANK-GMA-'!$C$31</definedName>
    <definedName name="Staff_HRS_1" localSheetId="1">'MCK Gross Margin'!$C$31</definedName>
    <definedName name="Staff_Labor_Rate" localSheetId="2">'BLANK-GMA-'!$B$14</definedName>
    <definedName name="Staff_Labor_Rate" localSheetId="1">'MCK Gross Margin'!$B$14</definedName>
    <definedName name="TB_Field" localSheetId="2">'BLANK-GMA-'!$C$18</definedName>
    <definedName name="TB_Field" localSheetId="1">'MCK Gross Margin'!$C$18</definedName>
    <definedName name="TB_Shop" localSheetId="2">'BLANK-GMA-'!$D$18</definedName>
    <definedName name="TB_Shop" localSheetId="1">'MCK Gross Margin'!$D$18</definedName>
    <definedName name="TB_Staff" localSheetId="2">'BLANK-GMA-'!$B$18</definedName>
    <definedName name="TB_Staff" localSheetId="1">'MCK Gross Margin'!$B$18</definedName>
    <definedName name="UF_Field" localSheetId="2">'BLANK-GMA-'!$C$19</definedName>
    <definedName name="UF_Field" localSheetId="1">'MCK Gross Margin'!$C$19</definedName>
    <definedName name="UF_Shop" localSheetId="2">'BLANK-GMA-'!$D$19</definedName>
    <definedName name="UF_Shop" localSheetId="1">'MCK Gross Margin'!$D$19</definedName>
    <definedName name="Union_Labor_Rate" localSheetId="2">'BLANK-GMA-'!$C$14</definedName>
    <definedName name="Union_Labor_Rate" localSheetId="1">'MCK Gross Margin'!$C$14</definedName>
    <definedName name="Warranty" localSheetId="2">'BLANK-GMA-'!$E$7</definedName>
    <definedName name="Warranty" localSheetId="1">'MCK Gross Margin'!$E$7</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9" i="2" l="1"/>
  <c r="D49" i="4" l="1"/>
  <c r="B28" i="4" l="1"/>
  <c r="C54" i="4" l="1"/>
  <c r="E49" i="4"/>
  <c r="C48" i="4"/>
  <c r="D48" i="4" s="1"/>
  <c r="E48" i="4" s="1"/>
  <c r="E46" i="4"/>
  <c r="C46" i="4"/>
  <c r="E45" i="4"/>
  <c r="C45" i="4"/>
  <c r="E44" i="4"/>
  <c r="D43" i="4"/>
  <c r="E43" i="4" s="1"/>
  <c r="E41" i="4"/>
  <c r="D41" i="4"/>
  <c r="E39" i="4"/>
  <c r="B38" i="4"/>
  <c r="C37" i="4"/>
  <c r="E31" i="4"/>
  <c r="D21" i="4"/>
  <c r="C21" i="4"/>
  <c r="B21" i="4"/>
  <c r="D20" i="4"/>
  <c r="C38" i="4" s="1"/>
  <c r="D38" i="4" s="1"/>
  <c r="E38" i="4" s="1"/>
  <c r="C20" i="4"/>
  <c r="C36" i="4" s="1"/>
  <c r="B20" i="4"/>
  <c r="B22" i="4" l="1"/>
  <c r="B37" i="4" s="1"/>
  <c r="D37" i="4" s="1"/>
  <c r="E37" i="4" s="1"/>
  <c r="C47" i="4"/>
  <c r="D47" i="4" s="1"/>
  <c r="E47" i="4" s="1"/>
  <c r="C42" i="4"/>
  <c r="D42" i="4" s="1"/>
  <c r="E42" i="4" s="1"/>
  <c r="C22" i="4"/>
  <c r="B36" i="4" s="1"/>
  <c r="D22" i="4"/>
  <c r="E26" i="4" l="1"/>
  <c r="C51" i="4"/>
  <c r="D36" i="4"/>
  <c r="E36" i="4" s="1"/>
  <c r="E49" i="2"/>
  <c r="E44" i="2"/>
  <c r="E43" i="2"/>
  <c r="E41" i="2"/>
  <c r="E39" i="2"/>
  <c r="C52" i="4" l="1"/>
  <c r="C53" i="4" s="1"/>
  <c r="C55" i="4" l="1"/>
  <c r="C56" i="4" s="1"/>
  <c r="E31" i="2"/>
  <c r="C57" i="4" l="1"/>
  <c r="C58" i="4" s="1"/>
  <c r="B60" i="4" s="1"/>
  <c r="B61" i="4" s="1"/>
  <c r="B20" i="2"/>
  <c r="C20" i="2"/>
  <c r="D20" i="2"/>
  <c r="B21" i="2"/>
  <c r="B22" i="2" s="1"/>
  <c r="B37" i="2" s="1"/>
  <c r="C21" i="2"/>
  <c r="D21" i="2"/>
  <c r="D22" i="2" s="1"/>
  <c r="B38" i="2"/>
  <c r="D41" i="2"/>
  <c r="D43" i="2"/>
  <c r="C37" i="2"/>
  <c r="C38" i="2"/>
  <c r="C45" i="2"/>
  <c r="E45" i="2" s="1"/>
  <c r="C46" i="2"/>
  <c r="E46" i="2" s="1"/>
  <c r="C48" i="2"/>
  <c r="D48" i="2" s="1"/>
  <c r="E48" i="2" s="1"/>
  <c r="C54" i="2"/>
  <c r="C22" i="2" l="1"/>
  <c r="B36" i="2" s="1"/>
  <c r="E26" i="2" s="1"/>
  <c r="C36" i="2"/>
  <c r="C42" i="2" s="1"/>
  <c r="D42" i="2" s="1"/>
  <c r="E42" i="2" s="1"/>
  <c r="D38" i="2"/>
  <c r="E38" i="2" s="1"/>
  <c r="D37" i="2"/>
  <c r="E37" i="2" s="1"/>
  <c r="D36" i="2" l="1"/>
  <c r="E36" i="2" s="1"/>
  <c r="C47" i="2"/>
  <c r="D47" i="2" s="1"/>
  <c r="E47" i="2" s="1"/>
  <c r="C51" i="2" l="1"/>
  <c r="C52" i="2" s="1"/>
  <c r="C53" i="2" s="1"/>
  <c r="C55" i="2" l="1"/>
  <c r="C56" i="2" s="1"/>
  <c r="C57" i="2" l="1"/>
  <c r="C58" i="2" s="1"/>
  <c r="B60" i="2" s="1"/>
  <c r="B61" i="2" l="1"/>
</calcChain>
</file>

<file path=xl/comments1.xml><?xml version="1.0" encoding="utf-8"?>
<comments xmlns="http://schemas.openxmlformats.org/spreadsheetml/2006/main">
  <authors>
    <author>Genevieve Guinn</author>
    <author>Kathleen Becker</author>
    <author>Sarah Cantwell</author>
    <author>Leo Gurdian</author>
  </authors>
  <commentList>
    <comment ref="B4" authorId="0" shapeId="0">
      <text>
        <r>
          <rPr>
            <b/>
            <sz val="9"/>
            <color indexed="8"/>
            <rFont val="Calibri Light"/>
            <family val="2"/>
          </rPr>
          <t xml:space="preserve">See Contract Terms
 Notes: (1) 
</t>
        </r>
      </text>
    </comment>
    <comment ref="B5" authorId="0" shapeId="0">
      <text>
        <r>
          <rPr>
            <b/>
            <sz val="9"/>
            <color indexed="8"/>
            <rFont val="Calibri Light"/>
            <family val="2"/>
          </rPr>
          <t xml:space="preserve">See Contract Terms Notes: (2)
</t>
        </r>
      </text>
    </comment>
    <comment ref="B6" authorId="0" shapeId="0">
      <text>
        <r>
          <rPr>
            <b/>
            <sz val="9"/>
            <color indexed="8"/>
            <rFont val="Calibri Light"/>
            <family val="2"/>
          </rPr>
          <t>See Contract Term Note: (3)</t>
        </r>
      </text>
    </comment>
    <comment ref="E6" authorId="1" shapeId="0">
      <text>
        <r>
          <rPr>
            <b/>
            <sz val="9"/>
            <color indexed="8"/>
            <rFont val="Calibri Light"/>
            <family val="2"/>
          </rPr>
          <t>See Contract Term Note: (5)</t>
        </r>
      </text>
    </comment>
    <comment ref="B7" authorId="0" shapeId="0">
      <text>
        <r>
          <rPr>
            <b/>
            <sz val="9"/>
            <color indexed="8"/>
            <rFont val="Calibri Light"/>
            <family val="2"/>
          </rPr>
          <t xml:space="preserve">See Contract Term Note (4)
</t>
        </r>
      </text>
    </comment>
    <comment ref="B12" authorId="0" shapeId="0">
      <text>
        <r>
          <rPr>
            <b/>
            <sz val="9"/>
            <color indexed="8"/>
            <rFont val="Calibri Light"/>
            <family val="2"/>
          </rPr>
          <t>See Labor Note (6)</t>
        </r>
      </text>
    </comment>
    <comment ref="B16" authorId="0" shapeId="0">
      <text>
        <r>
          <rPr>
            <b/>
            <sz val="9"/>
            <color indexed="8"/>
            <rFont val="Calibri Light"/>
            <family val="2"/>
          </rPr>
          <t xml:space="preserve">See Labor Note (7)
</t>
        </r>
      </text>
    </comment>
    <comment ref="E26" authorId="0" shapeId="0">
      <text>
        <r>
          <rPr>
            <b/>
            <sz val="9"/>
            <color indexed="8"/>
            <rFont val="Calibri Light"/>
            <family val="2"/>
          </rPr>
          <t>See Analysis &amp; Labor Structure Note (8)</t>
        </r>
      </text>
    </comment>
    <comment ref="D36" authorId="0" shapeId="0">
      <text>
        <r>
          <rPr>
            <b/>
            <sz val="9"/>
            <color indexed="8"/>
            <rFont val="Calibri Light"/>
            <family val="2"/>
          </rPr>
          <t>See Analysis &amp; Labor Structure Note (9)</t>
        </r>
      </text>
    </comment>
    <comment ref="D37" authorId="0" shapeId="0">
      <text>
        <r>
          <rPr>
            <b/>
            <sz val="9"/>
            <color indexed="8"/>
            <rFont val="Calibri Light"/>
            <family val="2"/>
          </rPr>
          <t>See Analysis &amp; Labor Structure Note  (10)</t>
        </r>
      </text>
    </comment>
    <comment ref="D38" authorId="0" shapeId="0">
      <text>
        <r>
          <rPr>
            <b/>
            <sz val="9"/>
            <color indexed="8"/>
            <rFont val="Calibri Light"/>
            <family val="2"/>
          </rPr>
          <t>See Analysis &amp; Labor Structure Note (11)</t>
        </r>
      </text>
    </comment>
    <comment ref="D39" authorId="0" shapeId="0">
      <text>
        <r>
          <rPr>
            <b/>
            <sz val="9"/>
            <color indexed="8"/>
            <rFont val="Calibri Light"/>
            <family val="2"/>
          </rPr>
          <t xml:space="preserve">See Analysis &amp; Labor Structure Note (12)
</t>
        </r>
      </text>
    </comment>
    <comment ref="B41" authorId="0" shapeId="0">
      <text>
        <r>
          <rPr>
            <b/>
            <sz val="9"/>
            <color indexed="8"/>
            <rFont val="Calibri Light"/>
            <family val="2"/>
          </rPr>
          <t>See Analysis &amp; Labor Structure Note (13)</t>
        </r>
      </text>
    </comment>
    <comment ref="C41" authorId="2" shapeId="0">
      <text>
        <r>
          <rPr>
            <b/>
            <sz val="9"/>
            <color indexed="8"/>
            <rFont val="Calibri Light"/>
            <family val="2"/>
          </rPr>
          <t>See Analysis &amp; Labor Structure Note (14)</t>
        </r>
      </text>
    </comment>
    <comment ref="B42" authorId="3" shapeId="0">
      <text>
        <r>
          <rPr>
            <b/>
            <sz val="9"/>
            <color indexed="8"/>
            <rFont val="Calibri Light"/>
            <family val="2"/>
          </rPr>
          <t>See Analysis &amp; Labor Structure Note (21).  See note added in gray area</t>
        </r>
      </text>
    </comment>
    <comment ref="C43" authorId="1" shapeId="0">
      <text>
        <r>
          <rPr>
            <b/>
            <sz val="9"/>
            <color indexed="8"/>
            <rFont val="Tahoma"/>
            <family val="2"/>
          </rPr>
          <t>Kathleen Becker:</t>
        </r>
        <r>
          <rPr>
            <sz val="9"/>
            <color indexed="8"/>
            <rFont val="Tahoma"/>
            <family val="2"/>
          </rPr>
          <t xml:space="preserve">
See Anaysis and Labor Structure Note (15)</t>
        </r>
      </text>
    </comment>
    <comment ref="D44" authorId="0" shapeId="0">
      <text>
        <r>
          <rPr>
            <b/>
            <sz val="9"/>
            <color indexed="8"/>
            <rFont val="Calibri Light"/>
            <family val="2"/>
          </rPr>
          <t>See Analysis &amp; Labor Structure Note (16)</t>
        </r>
      </text>
    </comment>
    <comment ref="C45" authorId="0" shapeId="0">
      <text>
        <r>
          <rPr>
            <b/>
            <sz val="9"/>
            <color indexed="8"/>
            <rFont val="Calibri Light"/>
            <family val="2"/>
          </rPr>
          <t xml:space="preserve">See Analysis &amp; Analysis and Labor Structure Note (17)
</t>
        </r>
      </text>
    </comment>
    <comment ref="C46" authorId="1" shapeId="0">
      <text>
        <r>
          <rPr>
            <b/>
            <sz val="9"/>
            <color indexed="8"/>
            <rFont val="Tahoma"/>
            <family val="2"/>
          </rPr>
          <t>Kathleen Becker:</t>
        </r>
        <r>
          <rPr>
            <sz val="9"/>
            <color indexed="8"/>
            <rFont val="Tahoma"/>
            <family val="2"/>
          </rPr>
          <t xml:space="preserve">
Analysis and Labor Structure Note (17)</t>
        </r>
      </text>
    </comment>
    <comment ref="B47" authorId="1" shapeId="0">
      <text>
        <r>
          <rPr>
            <b/>
            <sz val="9"/>
            <color indexed="8"/>
            <rFont val="Tahoma"/>
            <family val="2"/>
          </rPr>
          <t>Kathleen Becker:</t>
        </r>
        <r>
          <rPr>
            <sz val="9"/>
            <color indexed="8"/>
            <rFont val="Tahoma"/>
            <family val="2"/>
          </rPr>
          <t xml:space="preserve">
Analysis and Labor Structure Note (18)</t>
        </r>
      </text>
    </comment>
    <comment ref="B48" authorId="0" shapeId="0">
      <text>
        <r>
          <rPr>
            <b/>
            <sz val="9"/>
            <color indexed="8"/>
            <rFont val="Calibri Light"/>
            <family val="2"/>
          </rPr>
          <t xml:space="preserve">See Analysis &amp; Labor Structure Note (19)
</t>
        </r>
      </text>
    </comment>
    <comment ref="B49" authorId="0" shapeId="0">
      <text>
        <r>
          <rPr>
            <b/>
            <sz val="9"/>
            <color indexed="8"/>
            <rFont val="Calibri Light"/>
            <family val="2"/>
          </rPr>
          <t>See Analysis &amp; Labor Structure Note (20)</t>
        </r>
      </text>
    </comment>
    <comment ref="C56" authorId="0" shapeId="0">
      <text>
        <r>
          <rPr>
            <b/>
            <sz val="9"/>
            <color indexed="8"/>
            <rFont val="Calibri Light"/>
            <family val="2"/>
          </rPr>
          <t>See Totals Note (22)</t>
        </r>
      </text>
    </comment>
    <comment ref="C58" authorId="0" shapeId="0">
      <text>
        <r>
          <rPr>
            <b/>
            <sz val="9"/>
            <color indexed="8"/>
            <rFont val="Calibri Light"/>
            <family val="2"/>
          </rPr>
          <t>See Totals Note (23)</t>
        </r>
      </text>
    </comment>
    <comment ref="B61" authorId="0" shapeId="0">
      <text>
        <r>
          <rPr>
            <b/>
            <sz val="9"/>
            <color indexed="8"/>
            <rFont val="Calibri Light"/>
            <family val="2"/>
          </rPr>
          <t xml:space="preserve">See Totals Note (24)
</t>
        </r>
      </text>
    </comment>
  </commentList>
</comments>
</file>

<file path=xl/comments2.xml><?xml version="1.0" encoding="utf-8"?>
<comments xmlns="http://schemas.openxmlformats.org/spreadsheetml/2006/main">
  <authors>
    <author>Genevieve Guinn</author>
    <author>Kathleen Becker</author>
    <author>Sarah Cantwell</author>
    <author>Leo Gurdian</author>
  </authors>
  <commentList>
    <comment ref="B4" authorId="0" shapeId="0">
      <text>
        <r>
          <rPr>
            <b/>
            <sz val="9"/>
            <color indexed="8"/>
            <rFont val="Calibri Light"/>
            <family val="2"/>
          </rPr>
          <t xml:space="preserve">See Contract Terms
 Notes: (1) 
</t>
        </r>
      </text>
    </comment>
    <comment ref="B5" authorId="0" shapeId="0">
      <text>
        <r>
          <rPr>
            <b/>
            <sz val="9"/>
            <color indexed="8"/>
            <rFont val="Calibri Light"/>
            <family val="2"/>
          </rPr>
          <t xml:space="preserve">See Contract Terms Notes: (2)
</t>
        </r>
      </text>
    </comment>
    <comment ref="B6" authorId="0" shapeId="0">
      <text>
        <r>
          <rPr>
            <b/>
            <sz val="9"/>
            <color indexed="8"/>
            <rFont val="Calibri Light"/>
            <family val="2"/>
          </rPr>
          <t>See Contract Term Note: (3)</t>
        </r>
      </text>
    </comment>
    <comment ref="E6" authorId="1" shapeId="0">
      <text>
        <r>
          <rPr>
            <b/>
            <sz val="9"/>
            <color indexed="8"/>
            <rFont val="Calibri Light"/>
            <family val="2"/>
          </rPr>
          <t>See Contract Term Note: (5)</t>
        </r>
      </text>
    </comment>
    <comment ref="B7" authorId="0" shapeId="0">
      <text>
        <r>
          <rPr>
            <b/>
            <sz val="9"/>
            <color indexed="8"/>
            <rFont val="Calibri Light"/>
            <family val="2"/>
          </rPr>
          <t xml:space="preserve">See Contract Term Note (4)
</t>
        </r>
      </text>
    </comment>
    <comment ref="B12" authorId="0" shapeId="0">
      <text>
        <r>
          <rPr>
            <b/>
            <sz val="9"/>
            <color indexed="8"/>
            <rFont val="Calibri Light"/>
            <family val="2"/>
          </rPr>
          <t>See Labor Note (6)</t>
        </r>
      </text>
    </comment>
    <comment ref="B16" authorId="0" shapeId="0">
      <text>
        <r>
          <rPr>
            <b/>
            <sz val="9"/>
            <color indexed="8"/>
            <rFont val="Calibri Light"/>
            <family val="2"/>
          </rPr>
          <t xml:space="preserve">See Labor Note (7)
</t>
        </r>
      </text>
    </comment>
    <comment ref="E26" authorId="0" shapeId="0">
      <text>
        <r>
          <rPr>
            <b/>
            <sz val="9"/>
            <color indexed="8"/>
            <rFont val="Calibri Light"/>
            <family val="2"/>
          </rPr>
          <t>See Analysis &amp; Labor Structure Note (8)</t>
        </r>
      </text>
    </comment>
    <comment ref="D36" authorId="0" shapeId="0">
      <text>
        <r>
          <rPr>
            <b/>
            <sz val="9"/>
            <color indexed="8"/>
            <rFont val="Calibri Light"/>
            <family val="2"/>
          </rPr>
          <t>See Analysis &amp; Labor Structure Note (9)</t>
        </r>
      </text>
    </comment>
    <comment ref="D37" authorId="0" shapeId="0">
      <text>
        <r>
          <rPr>
            <b/>
            <sz val="9"/>
            <color indexed="8"/>
            <rFont val="Calibri Light"/>
            <family val="2"/>
          </rPr>
          <t>See Analysis &amp; Labor Structure Note  (10)</t>
        </r>
      </text>
    </comment>
    <comment ref="D38" authorId="0" shapeId="0">
      <text>
        <r>
          <rPr>
            <b/>
            <sz val="9"/>
            <color indexed="8"/>
            <rFont val="Calibri Light"/>
            <family val="2"/>
          </rPr>
          <t>See Analysis &amp; Labor Structure Note (11)</t>
        </r>
      </text>
    </comment>
    <comment ref="D39" authorId="0" shapeId="0">
      <text>
        <r>
          <rPr>
            <b/>
            <sz val="9"/>
            <color indexed="8"/>
            <rFont val="Calibri Light"/>
            <family val="2"/>
          </rPr>
          <t xml:space="preserve">See Analysis &amp; Labor Structure Note (12)
</t>
        </r>
      </text>
    </comment>
    <comment ref="B41" authorId="0" shapeId="0">
      <text>
        <r>
          <rPr>
            <b/>
            <sz val="9"/>
            <color indexed="8"/>
            <rFont val="Calibri Light"/>
            <family val="2"/>
          </rPr>
          <t>See Analysis &amp; Labor Structure Note (13)</t>
        </r>
      </text>
    </comment>
    <comment ref="C41" authorId="2" shapeId="0">
      <text>
        <r>
          <rPr>
            <b/>
            <sz val="9"/>
            <color indexed="8"/>
            <rFont val="Calibri Light"/>
            <family val="2"/>
          </rPr>
          <t>See Analysis &amp; Labor Structure Note (14)</t>
        </r>
      </text>
    </comment>
    <comment ref="B42" authorId="3" shapeId="0">
      <text>
        <r>
          <rPr>
            <b/>
            <sz val="9"/>
            <color indexed="8"/>
            <rFont val="Calibri Light"/>
            <family val="2"/>
          </rPr>
          <t>See Analysis &amp; Labor Structure Note (21).  See note added in gray area</t>
        </r>
      </text>
    </comment>
    <comment ref="C43" authorId="1" shapeId="0">
      <text>
        <r>
          <rPr>
            <b/>
            <sz val="9"/>
            <color indexed="8"/>
            <rFont val="Tahoma"/>
            <family val="2"/>
          </rPr>
          <t>Kathleen Becker:</t>
        </r>
        <r>
          <rPr>
            <sz val="9"/>
            <color indexed="8"/>
            <rFont val="Tahoma"/>
            <family val="2"/>
          </rPr>
          <t xml:space="preserve">
See Anaysis and Labor Structure Note (15)</t>
        </r>
      </text>
    </comment>
    <comment ref="D44" authorId="0" shapeId="0">
      <text>
        <r>
          <rPr>
            <b/>
            <sz val="9"/>
            <color indexed="8"/>
            <rFont val="Calibri Light"/>
            <family val="2"/>
          </rPr>
          <t>See Analysis &amp; Labor Structure Note (16)</t>
        </r>
      </text>
    </comment>
    <comment ref="C45" authorId="0" shapeId="0">
      <text>
        <r>
          <rPr>
            <b/>
            <sz val="9"/>
            <color indexed="8"/>
            <rFont val="Calibri Light"/>
            <family val="2"/>
          </rPr>
          <t xml:space="preserve">See Analysis &amp; Analysis and Labor Structure Note (17)
</t>
        </r>
      </text>
    </comment>
    <comment ref="C46" authorId="1" shapeId="0">
      <text>
        <r>
          <rPr>
            <b/>
            <sz val="9"/>
            <color indexed="8"/>
            <rFont val="Tahoma"/>
            <family val="2"/>
          </rPr>
          <t>Kathleen Becker:</t>
        </r>
        <r>
          <rPr>
            <sz val="9"/>
            <color indexed="8"/>
            <rFont val="Tahoma"/>
            <family val="2"/>
          </rPr>
          <t xml:space="preserve">
Analysis and Labor Structure Note (17)</t>
        </r>
      </text>
    </comment>
    <comment ref="B47" authorId="1" shapeId="0">
      <text>
        <r>
          <rPr>
            <b/>
            <sz val="9"/>
            <color indexed="8"/>
            <rFont val="Tahoma"/>
            <family val="2"/>
          </rPr>
          <t>Kathleen Becker:</t>
        </r>
        <r>
          <rPr>
            <sz val="9"/>
            <color indexed="8"/>
            <rFont val="Tahoma"/>
            <family val="2"/>
          </rPr>
          <t xml:space="preserve">
Analysis and Labor Structure Note (18)</t>
        </r>
      </text>
    </comment>
    <comment ref="B48" authorId="0" shapeId="0">
      <text>
        <r>
          <rPr>
            <b/>
            <sz val="9"/>
            <color indexed="8"/>
            <rFont val="Calibri Light"/>
            <family val="2"/>
          </rPr>
          <t xml:space="preserve">See Analysis &amp; Labor Structure Note (19)
</t>
        </r>
      </text>
    </comment>
    <comment ref="B49" authorId="0" shapeId="0">
      <text>
        <r>
          <rPr>
            <b/>
            <sz val="9"/>
            <color indexed="8"/>
            <rFont val="Calibri Light"/>
            <family val="2"/>
          </rPr>
          <t>See Analysis &amp; Labor Structure Note (20)</t>
        </r>
      </text>
    </comment>
    <comment ref="C56" authorId="0" shapeId="0">
      <text>
        <r>
          <rPr>
            <b/>
            <sz val="9"/>
            <color indexed="8"/>
            <rFont val="Calibri Light"/>
            <family val="2"/>
          </rPr>
          <t>See Totals Note (22)</t>
        </r>
      </text>
    </comment>
    <comment ref="C58" authorId="0" shapeId="0">
      <text>
        <r>
          <rPr>
            <b/>
            <sz val="9"/>
            <color indexed="8"/>
            <rFont val="Calibri Light"/>
            <family val="2"/>
          </rPr>
          <t>See Totals Note (23)</t>
        </r>
      </text>
    </comment>
    <comment ref="B61" authorId="0" shapeId="0">
      <text>
        <r>
          <rPr>
            <b/>
            <sz val="9"/>
            <color indexed="8"/>
            <rFont val="Calibri Light"/>
            <family val="2"/>
          </rPr>
          <t xml:space="preserve">See Totals Note (24)
</t>
        </r>
      </text>
    </comment>
  </commentList>
</comments>
</file>

<file path=xl/sharedStrings.xml><?xml version="1.0" encoding="utf-8"?>
<sst xmlns="http://schemas.openxmlformats.org/spreadsheetml/2006/main" count="183" uniqueCount="84">
  <si>
    <t>B&amp;O TAX</t>
  </si>
  <si>
    <t xml:space="preserve">INSURANCE (GLI) </t>
  </si>
  <si>
    <t>SMALL TOOLS</t>
  </si>
  <si>
    <t>BASE FEE</t>
  </si>
  <si>
    <t>WARRANTY</t>
  </si>
  <si>
    <t>BOND</t>
  </si>
  <si>
    <t>GMAX:</t>
  </si>
  <si>
    <t>ASSUMPTIONS:</t>
  </si>
  <si>
    <t>ABOUT THE LABOR</t>
  </si>
  <si>
    <t>MCKINSTRY STANDARD BURDEN RATES</t>
  </si>
  <si>
    <t>LABOR NOTES</t>
  </si>
  <si>
    <t>STAFF LABOR</t>
  </si>
  <si>
    <t>SHOP LABOR</t>
  </si>
  <si>
    <t>AVG UNION FRINGE</t>
  </si>
  <si>
    <t>N/A</t>
  </si>
  <si>
    <t>MCK BURDEN</t>
  </si>
  <si>
    <t>ANALYSIS WORKSHEET INPUT</t>
  </si>
  <si>
    <t>REQUIRED
INPUT</t>
  </si>
  <si>
    <r>
      <t xml:space="preserve">TOTA </t>
    </r>
    <r>
      <rPr>
        <b/>
        <sz val="10"/>
        <color indexed="8"/>
        <rFont val="Calibri"/>
        <family val="2"/>
      </rPr>
      <t>STAFF</t>
    </r>
    <r>
      <rPr>
        <sz val="10"/>
        <color indexed="8"/>
        <rFont val="Calibri"/>
        <family val="2"/>
      </rPr>
      <t xml:space="preserve"> LABOR HOURS</t>
    </r>
  </si>
  <si>
    <r>
      <t xml:space="preserve">TOTAL </t>
    </r>
    <r>
      <rPr>
        <b/>
        <sz val="10"/>
        <color indexed="8"/>
        <rFont val="Calibri"/>
        <family val="2"/>
      </rPr>
      <t>FIELD</t>
    </r>
    <r>
      <rPr>
        <sz val="10"/>
        <color indexed="8"/>
        <rFont val="Calibri"/>
        <family val="2"/>
      </rPr>
      <t xml:space="preserve"> LABOR HOURS</t>
    </r>
  </si>
  <si>
    <r>
      <t xml:space="preserve">TOTAL  </t>
    </r>
    <r>
      <rPr>
        <b/>
        <sz val="10"/>
        <color indexed="8"/>
        <rFont val="Calibri"/>
        <family val="2"/>
      </rPr>
      <t>SHOP</t>
    </r>
    <r>
      <rPr>
        <sz val="10"/>
        <color indexed="8"/>
        <rFont val="Calibri"/>
        <family val="2"/>
      </rPr>
      <t xml:space="preserve"> LABOR  HOURS</t>
    </r>
  </si>
  <si>
    <t>MCKINSTRY
COST STRUCTURE</t>
  </si>
  <si>
    <t>DELTA</t>
  </si>
  <si>
    <t>IMPACT ON FEE</t>
  </si>
  <si>
    <t>ANALYSIS</t>
  </si>
  <si>
    <t>MCKINSTRY OWNED EQUIPMENT</t>
  </si>
  <si>
    <t>LABOR DIFFERENTIAL</t>
  </si>
  <si>
    <r>
      <t xml:space="preserve">OTHER </t>
    </r>
    <r>
      <rPr>
        <sz val="10"/>
        <rFont val="Calibri"/>
        <family val="2"/>
      </rPr>
      <t>COSTS &amp; ADJUSTMENTS NOT COVERED IN CONTRACT</t>
    </r>
  </si>
  <si>
    <t xml:space="preserve">GENERAL LIABILITY INSURANCE (GLI) </t>
  </si>
  <si>
    <t>CONTINGENCY</t>
  </si>
  <si>
    <t>TOTALS</t>
  </si>
  <si>
    <t>TOTAL DIRECT COST TO CLIENT</t>
  </si>
  <si>
    <t>LIABILITY INSURANCE</t>
  </si>
  <si>
    <t>SUBTOTAL</t>
  </si>
  <si>
    <t>FEE CHARGED TO CLIENT</t>
  </si>
  <si>
    <t>ANTICIPATED FEE (DOLLARS)</t>
  </si>
  <si>
    <t>PROJECTED FINAL REVENUE</t>
  </si>
  <si>
    <t>PROJECTED FINAL BILLING</t>
  </si>
  <si>
    <t>PROJECTED FINAL CONTRACT (PRG)</t>
  </si>
  <si>
    <t>PROJECTED MCK MARK UP</t>
  </si>
  <si>
    <t>ABOUT THE CONTRACT TERMS</t>
  </si>
  <si>
    <r>
      <t xml:space="preserve">PROJECTED LABOR </t>
    </r>
    <r>
      <rPr>
        <b/>
        <sz val="10"/>
        <color indexed="8"/>
        <rFont val="Calibri"/>
        <family val="2"/>
      </rPr>
      <t>COST</t>
    </r>
  </si>
  <si>
    <r>
      <t xml:space="preserve">PROJECTED LABOR </t>
    </r>
    <r>
      <rPr>
        <b/>
        <sz val="10"/>
        <color indexed="8"/>
        <rFont val="Calibri"/>
        <family val="2"/>
      </rPr>
      <t>HOURS</t>
    </r>
  </si>
  <si>
    <r>
      <t xml:space="preserve">PROJECTED NON-LABOR </t>
    </r>
    <r>
      <rPr>
        <b/>
        <sz val="10"/>
        <color indexed="8"/>
        <rFont val="Calibri"/>
        <family val="2"/>
      </rPr>
      <t>COST</t>
    </r>
  </si>
  <si>
    <t>SHOP BURDEN</t>
  </si>
  <si>
    <t>TOTA STAFF LABOR HOURS</t>
  </si>
  <si>
    <t>TOTAL FIELD LABOR HOURS</t>
  </si>
  <si>
    <t>TOTAL  SHOP LABOR  HOURS</t>
  </si>
  <si>
    <t>PROJECTED MCK GROSS MARGIN</t>
  </si>
  <si>
    <t>CONTRACT TERMS NOTES</t>
  </si>
  <si>
    <t>STAFF BURDEN</t>
  </si>
  <si>
    <t>UNION LABOR</t>
  </si>
  <si>
    <r>
      <t xml:space="preserve">
(6) </t>
    </r>
    <r>
      <rPr>
        <sz val="8"/>
        <color indexed="8"/>
        <rFont val="Calibri Light"/>
        <family val="2"/>
      </rPr>
      <t xml:space="preserve"> McKinstry burden rates applied as follows:
          Staff:  Burden applied to Standard Base rate
          Union:  Burden applied to Taxable Base rate
          Shop:  Burden applied to Taxable Base rate+I15:K15</t>
    </r>
  </si>
  <si>
    <r>
      <t>(7)</t>
    </r>
    <r>
      <rPr>
        <sz val="8"/>
        <color indexed="8"/>
        <rFont val="Calibri Light"/>
        <family val="2"/>
      </rPr>
      <t xml:space="preserve">  </t>
    </r>
    <r>
      <rPr>
        <u/>
        <sz val="8"/>
        <color indexed="8"/>
        <rFont val="Calibri Light"/>
        <family val="2"/>
      </rPr>
      <t>Click here to access Standard Cost Rates located on BlueNet</t>
    </r>
  </si>
  <si>
    <t>FIELD LABOR</t>
  </si>
  <si>
    <t>BASE RATE</t>
  </si>
  <si>
    <t>BASE PLUS FRINGE</t>
  </si>
  <si>
    <t>LOADED COST RATE</t>
  </si>
  <si>
    <t>ANALYSIS &amp; LABOR STRUCTURE NOTES</t>
  </si>
  <si>
    <t>PROJECTED LABOR vs. 
McK COST STRUCTURE</t>
  </si>
  <si>
    <r>
      <t xml:space="preserve">PROJECTED FINAL </t>
    </r>
    <r>
      <rPr>
        <b/>
        <sz val="10"/>
        <color indexed="8"/>
        <rFont val="Calibri"/>
        <family val="2"/>
      </rPr>
      <t>COST</t>
    </r>
    <r>
      <rPr>
        <sz val="10"/>
        <color indexed="8"/>
        <rFont val="Calibri"/>
        <family val="2"/>
      </rPr>
      <t xml:space="preserve"> </t>
    </r>
  </si>
  <si>
    <t>SUGGESTED FROM PROPHECY
PROJECTIONS</t>
  </si>
  <si>
    <t>PROJECTION vs. INPUT BALANCE</t>
  </si>
  <si>
    <t>MCKINSTRY LABOR STRUCTURE COMPARED TO CONTRACT AGREEMENT</t>
  </si>
  <si>
    <t>CONTRACT
COST STRUCTURE</t>
  </si>
  <si>
    <t>UNION FIELD &amp; SHOP</t>
  </si>
  <si>
    <t>STAFF</t>
  </si>
  <si>
    <t>SMALL TOOLS OVERRIDE</t>
  </si>
  <si>
    <t>TOTALS NOTES</t>
  </si>
  <si>
    <t>GROSS MARGIN ANALYSIS:</t>
  </si>
  <si>
    <t>GROSS MARGIN ANALYSIS SUMMARY:</t>
  </si>
  <si>
    <r>
      <t>PROJECTIONS AT COMPLETION (FROM</t>
    </r>
    <r>
      <rPr>
        <b/>
        <sz val="12"/>
        <color theme="0"/>
        <rFont val="Calibri"/>
        <family val="2"/>
      </rPr>
      <t xml:space="preserve"> PROPHECY)</t>
    </r>
  </si>
  <si>
    <r>
      <rPr>
        <b/>
        <sz val="10"/>
        <rFont val="Calibri"/>
        <family val="2"/>
      </rPr>
      <t>UNION</t>
    </r>
    <r>
      <rPr>
        <b/>
        <sz val="10"/>
        <color indexed="8"/>
        <rFont val="Calibri"/>
        <family val="2"/>
      </rPr>
      <t xml:space="preserve"> BURDEN</t>
    </r>
  </si>
  <si>
    <r>
      <rPr>
        <b/>
        <sz val="12"/>
        <rFont val="Calibri"/>
        <family val="2"/>
      </rPr>
      <t>PROJECT</t>
    </r>
    <r>
      <rPr>
        <b/>
        <sz val="12"/>
        <color indexed="8"/>
        <rFont val="Calibri"/>
        <family val="2"/>
      </rPr>
      <t xml:space="preserve"> LABOR WEIGHTED AVERAGE ($/HR)</t>
    </r>
  </si>
  <si>
    <r>
      <t xml:space="preserve">(1)  </t>
    </r>
    <r>
      <rPr>
        <sz val="8"/>
        <color indexed="8"/>
        <rFont val="Calibri Light"/>
        <family val="2"/>
      </rPr>
      <t xml:space="preserve">If the contract has a stipulated burden percentage for Staff Labor enter that percentage in the Gross Margin Analysis setup in Viewpoint PM Projects. If the contract does not have a stipulated percentage and requires actual burden costs, a burden analysis needs to be completed.  Help from the Project Accounting team may be required.
</t>
    </r>
    <r>
      <rPr>
        <b/>
        <sz val="8"/>
        <color indexed="8"/>
        <rFont val="Calibri Light"/>
        <family val="2"/>
      </rPr>
      <t>(2)</t>
    </r>
    <r>
      <rPr>
        <sz val="8"/>
        <color indexed="8"/>
        <rFont val="Calibri Light"/>
        <family val="2"/>
      </rPr>
      <t xml:space="preserve">  Contract Union Burden percentage is usually applied to union base wage plus fringe for both Field and Shop employees.  If the contract union burden percentage applies to base wages only, or the contract requires actual burden costs, a burden analysis needs to be completed to determine the appropriate union burden percentage to use.
</t>
    </r>
    <r>
      <rPr>
        <b/>
        <sz val="8"/>
        <color indexed="8"/>
        <rFont val="Calibri Light"/>
        <family val="2"/>
      </rPr>
      <t>(3)</t>
    </r>
    <r>
      <rPr>
        <sz val="8"/>
        <color indexed="8"/>
        <rFont val="Calibri Light"/>
        <family val="2"/>
      </rPr>
      <t xml:space="preserve">  Contract Shop Burden percentage is usually applied to union base wage plus fringe for Shop employees. If the contract has shop burden being applied to base wages only, or has a per hour shop burden rate, a burden analysis needs to be completed to determine the appropriate shop burden percentage to use.
</t>
    </r>
    <r>
      <rPr>
        <b/>
        <sz val="8"/>
        <color indexed="8"/>
        <rFont val="Calibri Light"/>
        <family val="2"/>
      </rPr>
      <t>(4)</t>
    </r>
    <r>
      <rPr>
        <sz val="8"/>
        <color indexed="8"/>
        <rFont val="Calibri Light"/>
        <family val="2"/>
      </rPr>
      <t xml:space="preserve">  Base Fee is the Overhead plus Profit mark-up stipulated in the Contract
</t>
    </r>
    <r>
      <rPr>
        <b/>
        <sz val="8"/>
        <color indexed="8"/>
        <rFont val="Calibri Light"/>
        <family val="2"/>
      </rPr>
      <t xml:space="preserve">(5) </t>
    </r>
    <r>
      <rPr>
        <sz val="8"/>
        <color indexed="8"/>
        <rFont val="Calibri Light"/>
        <family val="2"/>
      </rPr>
      <t>Contract</t>
    </r>
    <r>
      <rPr>
        <b/>
        <sz val="8"/>
        <color indexed="8"/>
        <rFont val="Calibri Light"/>
        <family val="2"/>
      </rPr>
      <t xml:space="preserve"> </t>
    </r>
    <r>
      <rPr>
        <sz val="8"/>
        <color indexed="8"/>
        <rFont val="Calibri Light"/>
        <family val="2"/>
      </rPr>
      <t>Small Tools reimbursement percentage is usually applied to total labor costs (staff + union, including burden). Leave blank if there is no small tools reimbursement percentage specified in the contract. The Project Accounting team can help calculate the correct percentage to use if the contract has the small tools reimbursement percentage on something other than total labor costs.</t>
    </r>
  </si>
  <si>
    <r>
      <t>(8)</t>
    </r>
    <r>
      <rPr>
        <sz val="8"/>
        <rFont val="Calibri Light"/>
        <family val="2"/>
      </rPr>
      <t xml:space="preserve">  This number is the difference between your projected labor cost (B26) and the labor cost calculated under the McKinstry Cost Structure (sum of B:36:B38).  If there is a significant dollar difference between the two, you may want to modify your labor projections. 
</t>
    </r>
    <r>
      <rPr>
        <b/>
        <sz val="8"/>
        <rFont val="Calibri Light"/>
        <family val="2"/>
      </rPr>
      <t>(9)</t>
    </r>
    <r>
      <rPr>
        <sz val="8"/>
        <rFont val="Calibri Light"/>
        <family val="2"/>
      </rPr>
      <t xml:space="preserve">   Delta between McK union labor and contract union labor burden
</t>
    </r>
    <r>
      <rPr>
        <b/>
        <sz val="8"/>
        <rFont val="Calibri Light"/>
        <family val="2"/>
      </rPr>
      <t>(10)</t>
    </r>
    <r>
      <rPr>
        <sz val="8"/>
        <rFont val="Calibri Light"/>
        <family val="2"/>
      </rPr>
      <t xml:space="preserve">   Delta between McK staff and contract staff burden
</t>
    </r>
    <r>
      <rPr>
        <b/>
        <sz val="8"/>
        <rFont val="Calibri Light"/>
        <family val="2"/>
      </rPr>
      <t>(11)</t>
    </r>
    <r>
      <rPr>
        <sz val="8"/>
        <rFont val="Calibri Light"/>
        <family val="2"/>
      </rPr>
      <t xml:space="preserve"> Delta between McK shop and contract shop burden
</t>
    </r>
    <r>
      <rPr>
        <b/>
        <sz val="8"/>
        <rFont val="Calibri Light"/>
        <family val="2"/>
      </rPr>
      <t>(12)</t>
    </r>
    <r>
      <rPr>
        <sz val="8"/>
        <rFont val="Calibri Light"/>
        <family val="2"/>
      </rPr>
      <t xml:space="preserve">  If the contract requires actual staff wages (versus standard rates) or uses sell rates, there may be a difference between the substantiated labor cost and the job costs.  You may have to wait to calculate the labor differential percentage until after the first substantiation is complete or work with the Project Accounting team once the actual staff members who will be working on the job are known.
</t>
    </r>
    <r>
      <rPr>
        <b/>
        <sz val="8"/>
        <rFont val="Calibri Light"/>
        <family val="2"/>
      </rPr>
      <t>(13)</t>
    </r>
    <r>
      <rPr>
        <sz val="8"/>
        <rFont val="Calibri Light"/>
        <family val="2"/>
      </rPr>
      <t xml:space="preserve">  Estimated COST of McKinstry Owned Equipment..  Guidance:  3.5% of Field Labor Cost (Field Labor Hours * Field Houly Rate)
</t>
    </r>
    <r>
      <rPr>
        <b/>
        <sz val="8"/>
        <rFont val="Calibri Light"/>
        <family val="2"/>
      </rPr>
      <t xml:space="preserve">(14) </t>
    </r>
    <r>
      <rPr>
        <sz val="8"/>
        <rFont val="Calibri Light"/>
        <family val="2"/>
      </rPr>
      <t xml:space="preserve"> Estimated REVENUE or what the customer is willing to reimburse for McKinstry Owned Equipment
</t>
    </r>
    <r>
      <rPr>
        <b/>
        <sz val="8"/>
        <rFont val="Calibri Light"/>
        <family val="2"/>
      </rPr>
      <t>(15)</t>
    </r>
    <r>
      <rPr>
        <sz val="8"/>
        <rFont val="Calibri Light"/>
        <family val="2"/>
      </rPr>
      <t xml:space="preserve"> If there is no stipulated small tools percentage in the contract enter the estimated REVENUE or what the customer is willing to reimburse for small tools.
</t>
    </r>
    <r>
      <rPr>
        <b/>
        <sz val="8"/>
        <rFont val="Calibri Light"/>
        <family val="2"/>
      </rPr>
      <t xml:space="preserve">(16) </t>
    </r>
    <r>
      <rPr>
        <sz val="8"/>
        <rFont val="Calibri Light"/>
        <family val="2"/>
      </rPr>
      <t xml:space="preserve"> Miscellaneous adjustments can be positive or negative
</t>
    </r>
    <r>
      <rPr>
        <b/>
        <sz val="8"/>
        <rFont val="Calibri Light"/>
        <family val="2"/>
      </rPr>
      <t>(17)</t>
    </r>
    <r>
      <rPr>
        <sz val="8"/>
        <rFont val="Calibri Light"/>
        <family val="2"/>
      </rPr>
      <t xml:space="preserve">  Effective 11/2015 general liability insurance and B&amp;O tax are no longer charged to the jobs; McKinstry still pays GLI and B&amp;O tax and these are charged to Business Unit Overhead
</t>
    </r>
    <r>
      <rPr>
        <b/>
        <sz val="8"/>
        <rFont val="Calibri Light"/>
        <family val="2"/>
      </rPr>
      <t>(18)</t>
    </r>
    <r>
      <rPr>
        <sz val="8"/>
        <rFont val="Calibri Light"/>
        <family val="2"/>
      </rPr>
      <t xml:space="preserve">  May change based on risk level, change orders, etc.  
</t>
    </r>
    <r>
      <rPr>
        <b/>
        <sz val="8"/>
        <rFont val="Calibri Light"/>
        <family val="2"/>
      </rPr>
      <t>(19)</t>
    </r>
    <r>
      <rPr>
        <sz val="8"/>
        <rFont val="Calibri Light"/>
        <family val="2"/>
      </rPr>
      <t xml:space="preserve">  May change based on change orders
</t>
    </r>
    <r>
      <rPr>
        <b/>
        <sz val="8"/>
        <rFont val="Calibri Light"/>
        <family val="2"/>
      </rPr>
      <t>(20)</t>
    </r>
    <r>
      <rPr>
        <sz val="8"/>
        <rFont val="Calibri Light"/>
        <family val="2"/>
      </rPr>
      <t xml:space="preserve">  Enter the expected contingency costs and contingency revenue (contract)
</t>
    </r>
    <r>
      <rPr>
        <b/>
        <sz val="8"/>
        <rFont val="Calibri Light"/>
        <family val="2"/>
      </rPr>
      <t>(21)</t>
    </r>
    <r>
      <rPr>
        <sz val="8"/>
        <rFont val="Calibri Light"/>
        <family val="2"/>
      </rPr>
      <t xml:space="preserve"> If you return the tools to the Tool Room, you will receive 75% back.</t>
    </r>
  </si>
  <si>
    <r>
      <t>(22)</t>
    </r>
    <r>
      <rPr>
        <sz val="8"/>
        <color indexed="8"/>
        <rFont val="Calibri"/>
        <family val="2"/>
      </rPr>
      <t xml:space="preserve">  This number should be reported as the Revenue Projection if the contract excludes B&amp;O tax and if this amount is less than the anticipated final contract amount.  
</t>
    </r>
    <r>
      <rPr>
        <b/>
        <sz val="8"/>
        <color indexed="8"/>
        <rFont val="Calibri"/>
        <family val="2"/>
      </rPr>
      <t>(23)</t>
    </r>
    <r>
      <rPr>
        <sz val="8"/>
        <color indexed="8"/>
        <rFont val="Calibri"/>
        <family val="2"/>
      </rPr>
      <t xml:space="preserve"> If B&amp;O is included in the contract then this amount should be reported as the Revenue Projection.
</t>
    </r>
    <r>
      <rPr>
        <b/>
        <sz val="8"/>
        <color indexed="8"/>
        <rFont val="Calibri"/>
        <family val="2"/>
      </rPr>
      <t>(24)</t>
    </r>
    <r>
      <rPr>
        <sz val="8"/>
        <color indexed="8"/>
        <rFont val="Calibri"/>
        <family val="2"/>
      </rPr>
      <t xml:space="preserve">  This number is what the WIP report  and Viewpoint should show.</t>
    </r>
  </si>
  <si>
    <t>NEED HELP OR GOT QUESTIONS?</t>
  </si>
  <si>
    <r>
      <t xml:space="preserve">Click here to email the team at </t>
    </r>
    <r>
      <rPr>
        <u/>
        <sz val="10"/>
        <color indexed="8"/>
        <rFont val="Calibri Light"/>
        <family val="2"/>
      </rPr>
      <t>substantiations@mckinstry.com</t>
    </r>
  </si>
  <si>
    <t>PROJECTED BILLING BASED ON COST</t>
  </si>
  <si>
    <t>GMAX</t>
  </si>
  <si>
    <t>PROJECTED FINAL COST (PRG)</t>
  </si>
  <si>
    <t>GROSS MARGIN ANALYSIS: PROJECT (PRG) NAME HERE</t>
  </si>
  <si>
    <t>PROJECTIONS AT COMPLETION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</si>
</sst>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quot;$&quot;* #,##0.00_);_(&quot;$&quot;* \(#,##0.00\);_(&quot;$&quot;* &quot;-&quot;??_);_(@_)"/>
    <numFmt numFmtId="43" formatCode="_(* #,##0.00_);_(* \(#,##0.00\);_(* &quot;-&quot;??_);_(@_)"/>
    <numFmt numFmtId="164" formatCode="0.0%"/>
    <numFmt numFmtId="165" formatCode="_(&quot;$&quot;* #,##0.00_);_(&quot;$&quot;* \(#,##0.00\);_(&quot;$&quot;* &quot; - &quot;??_);_(@_)"/>
    <numFmt numFmtId="166" formatCode="0.000%"/>
  </numFmts>
  <fonts count="46" x14ac:knownFonts="1">
    <font>
      <sz val="11"/>
      <color theme="1"/>
      <name val="Calibri Light"/>
      <family val="2"/>
    </font>
    <font>
      <b/>
      <sz val="20"/>
      <color indexed="8"/>
      <name val="Calibri"/>
      <family val="2"/>
    </font>
    <font>
      <sz val="11"/>
      <color indexed="8"/>
      <name val="Calibri Light"/>
      <family val="2"/>
    </font>
    <font>
      <b/>
      <sz val="12"/>
      <color indexed="9"/>
      <name val="Calibri"/>
      <family val="2"/>
    </font>
    <font>
      <b/>
      <sz val="14"/>
      <color indexed="9"/>
      <name val="Calibri"/>
      <family val="2"/>
    </font>
    <font>
      <b/>
      <sz val="14"/>
      <color indexed="8"/>
      <name val="Calibri"/>
      <family val="2"/>
    </font>
    <font>
      <b/>
      <sz val="10"/>
      <color indexed="8"/>
      <name val="Calibri"/>
      <family val="2"/>
    </font>
    <font>
      <sz val="10"/>
      <name val="Calibri"/>
      <family val="2"/>
    </font>
    <font>
      <b/>
      <sz val="8"/>
      <name val="Calibri Light"/>
      <family val="2"/>
    </font>
    <font>
      <sz val="8"/>
      <name val="Calibri Light"/>
      <family val="2"/>
    </font>
    <font>
      <b/>
      <sz val="10"/>
      <name val="Calibri"/>
      <family val="2"/>
    </font>
    <font>
      <sz val="10"/>
      <name val="Calibri Light"/>
      <family val="2"/>
    </font>
    <font>
      <sz val="11"/>
      <name val="Calibri Light"/>
      <family val="2"/>
    </font>
    <font>
      <sz val="10"/>
      <color indexed="8"/>
      <name val="Calibri Light"/>
      <family val="2"/>
    </font>
    <font>
      <b/>
      <sz val="12"/>
      <name val="Calibri"/>
      <family val="2"/>
    </font>
    <font>
      <sz val="11"/>
      <color indexed="8"/>
      <name val="Calibri"/>
      <family val="2"/>
    </font>
    <font>
      <b/>
      <sz val="10"/>
      <color indexed="63"/>
      <name val="Calibri"/>
      <family val="2"/>
    </font>
    <font>
      <sz val="10"/>
      <color indexed="8"/>
      <name val="Calibri"/>
      <family val="2"/>
    </font>
    <font>
      <sz val="10"/>
      <color indexed="63"/>
      <name val="Calibri"/>
      <family val="2"/>
    </font>
    <font>
      <b/>
      <sz val="12"/>
      <color indexed="8"/>
      <name val="Calibri"/>
      <family val="2"/>
    </font>
    <font>
      <sz val="12"/>
      <color indexed="8"/>
      <name val="Calibri Light"/>
      <family val="2"/>
    </font>
    <font>
      <b/>
      <sz val="8"/>
      <color indexed="8"/>
      <name val="Calibri"/>
      <family val="2"/>
    </font>
    <font>
      <sz val="12"/>
      <color indexed="8"/>
      <name val="Calibri"/>
      <family val="2"/>
    </font>
    <font>
      <b/>
      <sz val="10"/>
      <color indexed="56"/>
      <name val="Calibri"/>
      <family val="2"/>
    </font>
    <font>
      <b/>
      <i/>
      <sz val="10"/>
      <color indexed="63"/>
      <name val="Calibri"/>
      <family val="2"/>
    </font>
    <font>
      <b/>
      <sz val="11"/>
      <color indexed="63"/>
      <name val="Calibri"/>
      <family val="2"/>
    </font>
    <font>
      <b/>
      <sz val="11"/>
      <color indexed="9"/>
      <name val="Calibri"/>
      <family val="2"/>
    </font>
    <font>
      <b/>
      <sz val="11"/>
      <color indexed="8"/>
      <name val="Calibri"/>
      <family val="2"/>
    </font>
    <font>
      <sz val="8"/>
      <color rgb="FF000000"/>
      <name val="Segoe UI"/>
      <family val="2"/>
    </font>
    <font>
      <sz val="11"/>
      <color theme="1"/>
      <name val="Calibri"/>
      <family val="2"/>
      <scheme val="minor"/>
    </font>
    <font>
      <b/>
      <i/>
      <sz val="10"/>
      <name val="Calibri"/>
      <family val="2"/>
    </font>
    <font>
      <u/>
      <sz val="8"/>
      <color indexed="8"/>
      <name val="Calibri Light"/>
      <family val="2"/>
    </font>
    <font>
      <sz val="8"/>
      <color indexed="8"/>
      <name val="Calibri"/>
      <family val="2"/>
    </font>
    <font>
      <i/>
      <sz val="11"/>
      <color indexed="10"/>
      <name val="Calibri Light"/>
      <family val="2"/>
    </font>
    <font>
      <sz val="8"/>
      <color indexed="8"/>
      <name val="Calibri Light"/>
      <family val="2"/>
    </font>
    <font>
      <b/>
      <sz val="8"/>
      <color indexed="8"/>
      <name val="Calibri Light"/>
      <family val="2"/>
    </font>
    <font>
      <b/>
      <sz val="9"/>
      <color indexed="8"/>
      <name val="Calibri Light"/>
      <family val="2"/>
    </font>
    <font>
      <b/>
      <sz val="10"/>
      <color indexed="10"/>
      <name val="Calibri"/>
      <family val="2"/>
    </font>
    <font>
      <b/>
      <sz val="12"/>
      <color indexed="10"/>
      <name val="Calibri"/>
      <family val="2"/>
    </font>
    <font>
      <b/>
      <sz val="9"/>
      <color indexed="8"/>
      <name val="Tahoma"/>
      <family val="2"/>
    </font>
    <font>
      <sz val="9"/>
      <color indexed="8"/>
      <name val="Tahoma"/>
      <family val="2"/>
    </font>
    <font>
      <b/>
      <sz val="12"/>
      <color theme="0"/>
      <name val="Calibri"/>
      <family val="2"/>
    </font>
    <font>
      <i/>
      <sz val="10"/>
      <name val="Calibri"/>
      <family val="2"/>
    </font>
    <font>
      <u/>
      <sz val="10"/>
      <color indexed="8"/>
      <name val="Calibri Light"/>
      <family val="2"/>
    </font>
    <font>
      <sz val="11"/>
      <color theme="1"/>
      <name val="Calibri Light"/>
      <family val="2"/>
    </font>
    <font>
      <sz val="10"/>
      <color theme="0"/>
      <name val="Calibri"/>
      <family val="2"/>
    </font>
  </fonts>
  <fills count="13">
    <fill>
      <patternFill patternType="none"/>
    </fill>
    <fill>
      <patternFill patternType="gray125"/>
    </fill>
    <fill>
      <patternFill patternType="solid">
        <fgColor rgb="FF768393"/>
        <bgColor indexed="64"/>
      </patternFill>
    </fill>
    <fill>
      <patternFill patternType="solid">
        <fgColor rgb="FFE7E7E8"/>
        <bgColor indexed="64"/>
      </patternFill>
    </fill>
    <fill>
      <patternFill patternType="solid">
        <fgColor rgb="FFF2F2F2"/>
        <bgColor indexed="64"/>
      </patternFill>
    </fill>
    <fill>
      <patternFill patternType="solid">
        <fgColor rgb="FFC0C3CC"/>
        <bgColor indexed="64"/>
      </patternFill>
    </fill>
    <fill>
      <patternFill patternType="solid">
        <fgColor rgb="FFFFF2CC"/>
        <bgColor indexed="64"/>
      </patternFill>
    </fill>
    <fill>
      <patternFill patternType="solid">
        <fgColor rgb="FFFAF2CC"/>
        <bgColor indexed="64"/>
      </patternFill>
    </fill>
    <fill>
      <patternFill patternType="solid">
        <fgColor rgb="FFFFFFFF"/>
        <bgColor indexed="64"/>
      </patternFill>
    </fill>
    <fill>
      <patternFill patternType="solid">
        <fgColor rgb="FFFAEDBF"/>
        <bgColor indexed="64"/>
      </patternFill>
    </fill>
    <fill>
      <patternFill patternType="solid">
        <fgColor rgb="FF0A3F54"/>
        <bgColor indexed="64"/>
      </patternFill>
    </fill>
    <fill>
      <patternFill patternType="solid">
        <fgColor theme="7" tint="0.79998168889431442"/>
        <bgColor indexed="64"/>
      </patternFill>
    </fill>
    <fill>
      <patternFill patternType="solid">
        <fgColor theme="9" tint="0.79998168889431442"/>
        <bgColor indexed="64"/>
      </patternFill>
    </fill>
  </fills>
  <borders count="14">
    <border>
      <left/>
      <right/>
      <top/>
      <bottom/>
      <diagonal/>
    </border>
    <border>
      <left/>
      <right/>
      <top/>
      <bottom style="thin">
        <color rgb="FFFFFFFF"/>
      </bottom>
      <diagonal/>
    </border>
    <border>
      <left/>
      <right/>
      <top style="thin">
        <color rgb="FFFFFFFF"/>
      </top>
      <bottom style="thin">
        <color rgb="FFFFFFFF"/>
      </bottom>
      <diagonal/>
    </border>
    <border>
      <left/>
      <right/>
      <top style="thin">
        <color rgb="FFFFFFFF"/>
      </top>
      <bottom/>
      <diagonal/>
    </border>
    <border>
      <left style="thin">
        <color rgb="FFFFFFFF"/>
      </left>
      <right/>
      <top/>
      <bottom/>
      <diagonal/>
    </border>
    <border>
      <left style="thin">
        <color rgb="FFFFFFFF"/>
      </left>
      <right/>
      <top style="thin">
        <color rgb="FFFFFFFF"/>
      </top>
      <bottom/>
      <diagonal/>
    </border>
    <border>
      <left/>
      <right/>
      <top/>
      <bottom style="medium">
        <color rgb="FFFFFFFF"/>
      </bottom>
      <diagonal/>
    </border>
    <border>
      <left style="medium">
        <color rgb="FFFFFFFF"/>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diagonal/>
    </border>
    <border>
      <left style="medium">
        <color rgb="FFFFFFFF"/>
      </left>
      <right style="medium">
        <color rgb="FFFFFFFF"/>
      </right>
      <top/>
      <bottom style="medium">
        <color rgb="FFFFFFFF"/>
      </bottom>
      <diagonal/>
    </border>
    <border>
      <left style="medium">
        <color rgb="FFFFFFFF"/>
      </left>
      <right style="medium">
        <color rgb="FFFFFFFF"/>
      </right>
      <top style="thin">
        <color rgb="FFFFFFFF"/>
      </top>
      <bottom style="medium">
        <color rgb="FFFFFFFF"/>
      </bottom>
      <diagonal/>
    </border>
    <border>
      <left/>
      <right style="medium">
        <color rgb="FFFFFFFF"/>
      </right>
      <top/>
      <bottom/>
      <diagonal/>
    </border>
    <border>
      <left/>
      <right style="thin">
        <color rgb="FFFFFFFF"/>
      </right>
      <top style="thin">
        <color rgb="FFFFFFFF"/>
      </top>
      <bottom style="thin">
        <color rgb="FFFFFFFF"/>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29" fillId="0" borderId="0"/>
    <xf numFmtId="9" fontId="29" fillId="0" borderId="0" applyFont="0" applyFill="0" applyBorder="0" applyAlignment="0" applyProtection="0"/>
    <xf numFmtId="44" fontId="29" fillId="0" borderId="0" applyFont="0" applyFill="0" applyBorder="0" applyAlignment="0" applyProtection="0"/>
    <xf numFmtId="9" fontId="44" fillId="0" borderId="0" applyFont="0" applyFill="0" applyBorder="0" applyAlignment="0" applyProtection="0"/>
    <xf numFmtId="43" fontId="44" fillId="0" borderId="0" applyFont="0" applyFill="0" applyBorder="0" applyAlignment="0" applyProtection="0"/>
  </cellStyleXfs>
  <cellXfs count="191">
    <xf numFmtId="0" fontId="0" fillId="0" borderId="0" xfId="0"/>
    <xf numFmtId="0" fontId="1" fillId="0" borderId="0" xfId="0" applyNumberFormat="1" applyFont="1" applyFill="1" applyBorder="1" applyAlignment="1" applyProtection="1">
      <alignment horizontal="left"/>
    </xf>
    <xf numFmtId="0" fontId="2" fillId="0" borderId="0" xfId="0" applyNumberFormat="1" applyFont="1" applyFill="1" applyBorder="1" applyAlignment="1" applyProtection="1"/>
    <xf numFmtId="0" fontId="4" fillId="0" borderId="0" xfId="0" applyNumberFormat="1" applyFont="1" applyFill="1" applyBorder="1" applyAlignment="1" applyProtection="1">
      <alignment vertical="center"/>
    </xf>
    <xf numFmtId="0" fontId="6" fillId="0" borderId="0" xfId="0" applyNumberFormat="1" applyFont="1" applyFill="1" applyBorder="1" applyAlignment="1" applyProtection="1">
      <alignment horizontal="right" vertical="center"/>
    </xf>
    <xf numFmtId="10" fontId="7" fillId="4" borderId="2" xfId="0" applyNumberFormat="1" applyFont="1" applyFill="1" applyBorder="1" applyAlignment="1" applyProtection="1">
      <alignment vertical="center" wrapText="1"/>
    </xf>
    <xf numFmtId="0" fontId="9" fillId="0" borderId="0" xfId="0" applyNumberFormat="1" applyFont="1" applyFill="1" applyBorder="1" applyAlignment="1" applyProtection="1">
      <alignment vertical="top" wrapText="1"/>
    </xf>
    <xf numFmtId="10" fontId="7" fillId="4" borderId="3" xfId="0" applyNumberFormat="1" applyFont="1" applyFill="1" applyBorder="1" applyAlignment="1" applyProtection="1">
      <alignment vertical="center" wrapText="1"/>
    </xf>
    <xf numFmtId="0" fontId="11" fillId="0" borderId="4" xfId="0" applyNumberFormat="1" applyFont="1" applyFill="1" applyBorder="1" applyAlignment="1" applyProtection="1">
      <alignment vertical="top" wrapText="1"/>
    </xf>
    <xf numFmtId="0" fontId="11" fillId="0" borderId="0" xfId="0" applyNumberFormat="1" applyFont="1" applyFill="1" applyBorder="1" applyAlignment="1" applyProtection="1">
      <alignment vertical="top" wrapText="1"/>
    </xf>
    <xf numFmtId="0" fontId="12" fillId="0" borderId="0" xfId="0" applyNumberFormat="1" applyFont="1" applyFill="1" applyBorder="1" applyAlignment="1" applyProtection="1">
      <alignment vertical="top" wrapText="1"/>
    </xf>
    <xf numFmtId="0" fontId="9" fillId="0" borderId="1" xfId="0" applyNumberFormat="1" applyFont="1" applyFill="1" applyBorder="1" applyAlignment="1" applyProtection="1">
      <alignment vertical="top" wrapText="1"/>
    </xf>
    <xf numFmtId="0" fontId="5" fillId="0" borderId="3" xfId="0" applyNumberFormat="1" applyFont="1" applyFill="1" applyBorder="1" applyAlignment="1" applyProtection="1">
      <alignment vertical="center"/>
    </xf>
    <xf numFmtId="0" fontId="13" fillId="0" borderId="5" xfId="0" applyNumberFormat="1" applyFont="1" applyFill="1" applyBorder="1" applyAlignment="1" applyProtection="1"/>
    <xf numFmtId="0" fontId="13" fillId="0" borderId="0" xfId="0" applyNumberFormat="1" applyFont="1" applyFill="1" applyBorder="1" applyAlignment="1" applyProtection="1"/>
    <xf numFmtId="0" fontId="13" fillId="0" borderId="0" xfId="0" applyNumberFormat="1" applyFont="1" applyFill="1" applyBorder="1" applyAlignment="1" applyProtection="1">
      <alignment horizontal="left"/>
    </xf>
    <xf numFmtId="0" fontId="5" fillId="3" borderId="0" xfId="0" applyNumberFormat="1" applyFont="1" applyFill="1" applyBorder="1" applyAlignment="1" applyProtection="1"/>
    <xf numFmtId="0" fontId="15" fillId="0" borderId="4" xfId="0" applyNumberFormat="1" applyFont="1" applyFill="1" applyBorder="1" applyAlignment="1" applyProtection="1">
      <alignment vertical="center"/>
    </xf>
    <xf numFmtId="0" fontId="16" fillId="0" borderId="7" xfId="0" applyNumberFormat="1" applyFont="1" applyFill="1" applyBorder="1" applyAlignment="1" applyProtection="1">
      <alignment horizontal="center"/>
    </xf>
    <xf numFmtId="0" fontId="17" fillId="0" borderId="0" xfId="0" applyNumberFormat="1" applyFont="1" applyFill="1" applyBorder="1" applyAlignment="1" applyProtection="1">
      <alignment horizontal="left" vertical="center" wrapText="1"/>
    </xf>
    <xf numFmtId="0" fontId="6" fillId="0" borderId="0" xfId="0"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wrapText="1"/>
    </xf>
    <xf numFmtId="164" fontId="16" fillId="0" borderId="0" xfId="0" applyNumberFormat="1" applyFont="1" applyFill="1" applyBorder="1" applyAlignment="1" applyProtection="1">
      <alignment horizontal="center" vertical="center"/>
    </xf>
    <xf numFmtId="0" fontId="2" fillId="0" borderId="4" xfId="0" applyNumberFormat="1" applyFont="1" applyFill="1" applyBorder="1" applyAlignment="1" applyProtection="1"/>
    <xf numFmtId="0" fontId="19" fillId="0" borderId="0" xfId="0" applyNumberFormat="1" applyFont="1" applyFill="1" applyBorder="1" applyAlignment="1" applyProtection="1">
      <alignment vertical="center" wrapText="1"/>
    </xf>
    <xf numFmtId="0" fontId="20" fillId="0" borderId="0" xfId="0" applyNumberFormat="1" applyFont="1" applyFill="1" applyBorder="1" applyAlignment="1" applyProtection="1">
      <alignment horizontal="left"/>
    </xf>
    <xf numFmtId="0" fontId="16" fillId="0" borderId="0" xfId="0" applyNumberFormat="1" applyFont="1" applyFill="1" applyBorder="1" applyAlignment="1" applyProtection="1">
      <alignment horizontal="center"/>
    </xf>
    <xf numFmtId="0" fontId="16" fillId="0" borderId="4" xfId="0" applyNumberFormat="1" applyFont="1" applyFill="1" applyBorder="1" applyAlignment="1" applyProtection="1">
      <alignment horizontal="center"/>
    </xf>
    <xf numFmtId="0" fontId="16" fillId="0" borderId="4" xfId="0" applyNumberFormat="1" applyFont="1" applyFill="1" applyBorder="1" applyAlignment="1" applyProtection="1">
      <alignment horizontal="right" vertical="center"/>
    </xf>
    <xf numFmtId="0" fontId="17" fillId="0" borderId="0" xfId="0" applyNumberFormat="1" applyFont="1" applyFill="1" applyBorder="1" applyAlignment="1" applyProtection="1">
      <alignment horizontal="left" vertical="center"/>
    </xf>
    <xf numFmtId="44" fontId="7" fillId="4" borderId="7" xfId="0" applyNumberFormat="1" applyFont="1" applyFill="1" applyBorder="1" applyAlignment="1" applyProtection="1">
      <alignment horizontal="right" vertical="center" wrapText="1"/>
    </xf>
    <xf numFmtId="0" fontId="9" fillId="3" borderId="0" xfId="0" applyNumberFormat="1" applyFont="1" applyFill="1" applyBorder="1" applyAlignment="1" applyProtection="1">
      <alignment vertical="top" wrapText="1"/>
    </xf>
    <xf numFmtId="44" fontId="18" fillId="4" borderId="7" xfId="0" applyNumberFormat="1" applyFont="1" applyFill="1" applyBorder="1" applyAlignment="1" applyProtection="1">
      <alignment horizontal="center" vertical="center"/>
    </xf>
    <xf numFmtId="44" fontId="17" fillId="4" borderId="7" xfId="0" applyNumberFormat="1" applyFont="1" applyFill="1" applyBorder="1" applyAlignment="1" applyProtection="1">
      <alignment vertical="center"/>
    </xf>
    <xf numFmtId="0" fontId="17" fillId="0" borderId="0" xfId="0" applyNumberFormat="1" applyFont="1" applyFill="1" applyBorder="1" applyAlignment="1" applyProtection="1">
      <alignment vertical="center"/>
    </xf>
    <xf numFmtId="44" fontId="22" fillId="0" borderId="0" xfId="0" applyNumberFormat="1" applyFont="1" applyFill="1" applyBorder="1" applyAlignment="1" applyProtection="1">
      <alignment vertical="center" wrapText="1"/>
    </xf>
    <xf numFmtId="0" fontId="16" fillId="0" borderId="4" xfId="0" applyNumberFormat="1" applyFont="1" applyFill="1" applyBorder="1" applyAlignment="1" applyProtection="1">
      <alignment horizontal="right" vertical="center" wrapText="1"/>
    </xf>
    <xf numFmtId="44" fontId="17" fillId="0" borderId="0" xfId="0" applyNumberFormat="1" applyFont="1" applyFill="1" applyBorder="1" applyAlignment="1" applyProtection="1">
      <alignment vertical="center"/>
    </xf>
    <xf numFmtId="0" fontId="5" fillId="0" borderId="0" xfId="0" applyNumberFormat="1" applyFont="1" applyFill="1" applyBorder="1" applyAlignment="1" applyProtection="1">
      <alignment vertical="center"/>
    </xf>
    <xf numFmtId="0" fontId="17" fillId="8" borderId="3" xfId="0" applyNumberFormat="1" applyFont="1" applyFill="1" applyBorder="1" applyAlignment="1" applyProtection="1">
      <alignment horizontal="right" vertical="center"/>
    </xf>
    <xf numFmtId="0" fontId="7" fillId="8" borderId="0" xfId="0" applyNumberFormat="1" applyFont="1" applyFill="1" applyBorder="1" applyAlignment="1" applyProtection="1">
      <alignment horizontal="left" vertical="center"/>
    </xf>
    <xf numFmtId="0" fontId="17" fillId="8" borderId="1" xfId="0" applyNumberFormat="1" applyFont="1" applyFill="1" applyBorder="1" applyAlignment="1" applyProtection="1">
      <alignment horizontal="right" vertical="center" wrapText="1"/>
    </xf>
    <xf numFmtId="0" fontId="10" fillId="0" borderId="0" xfId="0" applyNumberFormat="1" applyFont="1" applyFill="1" applyBorder="1" applyAlignment="1" applyProtection="1">
      <alignment vertical="center"/>
    </xf>
    <xf numFmtId="0" fontId="6" fillId="0" borderId="1" xfId="0" applyNumberFormat="1" applyFont="1" applyFill="1" applyBorder="1" applyAlignment="1" applyProtection="1">
      <alignment horizontal="center" vertical="center" wrapText="1"/>
    </xf>
    <xf numFmtId="0" fontId="6" fillId="0" borderId="2" xfId="0" applyNumberFormat="1" applyFont="1" applyFill="1" applyBorder="1" applyAlignment="1" applyProtection="1">
      <alignment horizontal="center" vertical="center" wrapText="1"/>
    </xf>
    <xf numFmtId="0" fontId="15" fillId="0" borderId="0" xfId="0" applyNumberFormat="1" applyFont="1" applyFill="1" applyBorder="1" applyAlignment="1" applyProtection="1">
      <alignment vertical="center"/>
    </xf>
    <xf numFmtId="0" fontId="7" fillId="0" borderId="0" xfId="0" applyNumberFormat="1" applyFont="1" applyFill="1" applyBorder="1" applyAlignment="1" applyProtection="1">
      <alignment horizontal="left" vertical="center"/>
    </xf>
    <xf numFmtId="43" fontId="7" fillId="4" borderId="0" xfId="0" applyNumberFormat="1" applyFont="1" applyFill="1" applyBorder="1" applyAlignment="1" applyProtection="1">
      <alignment horizontal="left" vertical="center"/>
    </xf>
    <xf numFmtId="0" fontId="17" fillId="8" borderId="0" xfId="0" applyNumberFormat="1" applyFont="1" applyFill="1" applyBorder="1" applyAlignment="1" applyProtection="1">
      <alignment horizontal="right" vertical="center" wrapText="1"/>
    </xf>
    <xf numFmtId="0" fontId="17" fillId="8" borderId="1" xfId="0" applyNumberFormat="1" applyFont="1" applyFill="1" applyBorder="1" applyAlignment="1" applyProtection="1">
      <alignment horizontal="right" vertical="center"/>
    </xf>
    <xf numFmtId="0" fontId="4" fillId="0" borderId="0" xfId="0" applyNumberFormat="1" applyFont="1" applyFill="1" applyBorder="1" applyAlignment="1" applyProtection="1">
      <alignment vertical="center" wrapText="1"/>
    </xf>
    <xf numFmtId="0" fontId="24" fillId="0" borderId="3" xfId="0" applyNumberFormat="1" applyFont="1" applyFill="1" applyBorder="1" applyAlignment="1" applyProtection="1">
      <alignment vertical="center" wrapText="1"/>
    </xf>
    <xf numFmtId="0" fontId="16" fillId="0" borderId="0" xfId="0" applyNumberFormat="1" applyFont="1" applyFill="1" applyBorder="1" applyAlignment="1" applyProtection="1">
      <alignment horizontal="center" vertical="center" wrapText="1"/>
    </xf>
    <xf numFmtId="0" fontId="24" fillId="0" borderId="0" xfId="0" applyNumberFormat="1" applyFont="1" applyFill="1" applyBorder="1" applyAlignment="1" applyProtection="1">
      <alignment vertical="center" wrapText="1"/>
    </xf>
    <xf numFmtId="0" fontId="7" fillId="8" borderId="0" xfId="0" applyNumberFormat="1" applyFont="1" applyFill="1" applyBorder="1" applyAlignment="1" applyProtection="1">
      <alignment horizontal="right"/>
    </xf>
    <xf numFmtId="0" fontId="17" fillId="0" borderId="0" xfId="0" applyNumberFormat="1" applyFont="1" applyFill="1" applyBorder="1" applyAlignment="1" applyProtection="1"/>
    <xf numFmtId="0" fontId="7" fillId="8" borderId="0" xfId="0" applyNumberFormat="1" applyFont="1" applyFill="1" applyBorder="1" applyAlignment="1" applyProtection="1">
      <alignment horizontal="right" vertical="center"/>
    </xf>
    <xf numFmtId="0" fontId="10" fillId="8" borderId="0" xfId="0" applyNumberFormat="1" applyFont="1" applyFill="1" applyBorder="1" applyAlignment="1" applyProtection="1">
      <alignment horizontal="right" vertical="center" wrapText="1"/>
    </xf>
    <xf numFmtId="0" fontId="7" fillId="8" borderId="0" xfId="0" applyNumberFormat="1" applyFont="1" applyFill="1" applyBorder="1" applyAlignment="1" applyProtection="1">
      <alignment horizontal="right" vertical="center" wrapText="1"/>
    </xf>
    <xf numFmtId="0" fontId="25" fillId="0" borderId="0" xfId="0" applyNumberFormat="1" applyFont="1" applyFill="1" applyBorder="1" applyAlignment="1" applyProtection="1">
      <alignment horizontal="left" vertical="center"/>
    </xf>
    <xf numFmtId="44" fontId="26" fillId="0" borderId="0" xfId="0" applyNumberFormat="1" applyFont="1" applyFill="1" applyBorder="1" applyAlignment="1" applyProtection="1">
      <alignment vertical="center"/>
    </xf>
    <xf numFmtId="0" fontId="25" fillId="0" borderId="0" xfId="0" applyNumberFormat="1" applyFont="1" applyFill="1" applyBorder="1" applyAlignment="1" applyProtection="1">
      <alignment horizontal="right" vertical="center"/>
    </xf>
    <xf numFmtId="0" fontId="7" fillId="8" borderId="0" xfId="0" applyNumberFormat="1" applyFont="1" applyFill="1" applyBorder="1" applyAlignment="1" applyProtection="1">
      <alignment vertical="center" wrapText="1"/>
    </xf>
    <xf numFmtId="10" fontId="26" fillId="0" borderId="0" xfId="0" applyNumberFormat="1" applyFont="1" applyFill="1" applyBorder="1" applyAlignment="1" applyProtection="1">
      <alignment vertical="center"/>
    </xf>
    <xf numFmtId="165" fontId="17" fillId="6" borderId="7" xfId="0" applyNumberFormat="1" applyFont="1" applyFill="1" applyBorder="1" applyAlignment="1" applyProtection="1">
      <alignment horizontal="left" vertical="center"/>
      <protection locked="0"/>
    </xf>
    <xf numFmtId="43" fontId="23" fillId="9" borderId="1" xfId="0" applyNumberFormat="1" applyFont="1" applyFill="1" applyBorder="1" applyAlignment="1" applyProtection="1">
      <alignment horizontal="left" vertical="center"/>
      <protection locked="0"/>
    </xf>
    <xf numFmtId="43" fontId="23" fillId="9" borderId="2" xfId="0" applyNumberFormat="1" applyFont="1" applyFill="1" applyBorder="1" applyAlignment="1" applyProtection="1">
      <alignment horizontal="left" vertical="center"/>
      <protection locked="0"/>
    </xf>
    <xf numFmtId="43" fontId="23" fillId="9" borderId="3"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protection locked="0"/>
    </xf>
    <xf numFmtId="0" fontId="15" fillId="0" borderId="0" xfId="0" applyNumberFormat="1" applyFont="1" applyFill="1" applyBorder="1" applyAlignment="1" applyProtection="1">
      <protection locked="0"/>
    </xf>
    <xf numFmtId="0" fontId="27" fillId="0" borderId="0" xfId="0" applyNumberFormat="1" applyFont="1" applyFill="1" applyBorder="1" applyAlignment="1" applyProtection="1">
      <alignment horizontal="center"/>
      <protection locked="0"/>
    </xf>
    <xf numFmtId="0" fontId="17" fillId="0" borderId="0" xfId="0" applyNumberFormat="1" applyFont="1" applyFill="1" applyBorder="1" applyAlignment="1" applyProtection="1">
      <protection locked="0"/>
    </xf>
    <xf numFmtId="0" fontId="6" fillId="8" borderId="3" xfId="0" applyNumberFormat="1" applyFont="1" applyFill="1" applyBorder="1" applyAlignment="1" applyProtection="1">
      <alignment horizontal="right" vertical="center"/>
    </xf>
    <xf numFmtId="0" fontId="6" fillId="8" borderId="0" xfId="0" applyNumberFormat="1" applyFont="1" applyFill="1" applyBorder="1" applyAlignment="1" applyProtection="1">
      <alignment horizontal="right" vertical="center" wrapText="1"/>
    </xf>
    <xf numFmtId="0" fontId="6" fillId="8" borderId="1" xfId="0" applyNumberFormat="1" applyFont="1" applyFill="1" applyBorder="1" applyAlignment="1" applyProtection="1">
      <alignment horizontal="right" vertical="center"/>
    </xf>
    <xf numFmtId="0" fontId="6" fillId="0" borderId="0" xfId="0" applyNumberFormat="1" applyFont="1" applyFill="1" applyBorder="1" applyAlignment="1" applyProtection="1">
      <alignment horizontal="right"/>
      <protection locked="0"/>
    </xf>
    <xf numFmtId="0" fontId="16" fillId="0" borderId="3" xfId="0" applyNumberFormat="1" applyFont="1" applyFill="1" applyBorder="1" applyAlignment="1" applyProtection="1">
      <alignment horizontal="right" vertical="center"/>
    </xf>
    <xf numFmtId="0" fontId="16" fillId="0" borderId="0" xfId="0" applyNumberFormat="1" applyFont="1" applyFill="1" applyBorder="1" applyAlignment="1" applyProtection="1">
      <alignment horizontal="right" vertical="center"/>
    </xf>
    <xf numFmtId="0" fontId="6" fillId="0" borderId="0" xfId="0" applyNumberFormat="1" applyFont="1" applyFill="1" applyBorder="1" applyAlignment="1" applyProtection="1">
      <alignment horizontal="right" vertical="center"/>
      <protection locked="0"/>
    </xf>
    <xf numFmtId="0" fontId="5" fillId="3" borderId="0" xfId="0" applyNumberFormat="1" applyFont="1" applyFill="1" applyBorder="1" applyAlignment="1" applyProtection="1">
      <alignment vertical="center"/>
    </xf>
    <xf numFmtId="0" fontId="37" fillId="0" borderId="0" xfId="0" applyNumberFormat="1" applyFont="1" applyFill="1" applyBorder="1" applyAlignment="1" applyProtection="1">
      <alignment horizontal="right" vertical="center" wrapText="1"/>
    </xf>
    <xf numFmtId="0" fontId="6" fillId="0" borderId="0" xfId="0" applyNumberFormat="1" applyFont="1" applyFill="1" applyBorder="1" applyAlignment="1" applyProtection="1">
      <alignment horizontal="right"/>
    </xf>
    <xf numFmtId="0" fontId="6" fillId="0" borderId="0" xfId="0" applyNumberFormat="1" applyFont="1" applyFill="1" applyBorder="1" applyAlignment="1" applyProtection="1">
      <alignment horizontal="right" vertical="top"/>
    </xf>
    <xf numFmtId="0" fontId="13" fillId="0" borderId="0" xfId="0" applyNumberFormat="1" applyFont="1" applyFill="1" applyBorder="1" applyAlignment="1" applyProtection="1">
      <protection locked="0"/>
    </xf>
    <xf numFmtId="0" fontId="15" fillId="0" borderId="0" xfId="0" applyNumberFormat="1" applyFont="1" applyFill="1" applyBorder="1" applyAlignment="1" applyProtection="1">
      <alignment vertical="center"/>
      <protection locked="0"/>
    </xf>
    <xf numFmtId="0" fontId="35" fillId="3" borderId="0" xfId="0" applyNumberFormat="1" applyFont="1" applyFill="1" applyBorder="1" applyAlignment="1" applyProtection="1">
      <alignment vertical="top" wrapText="1"/>
    </xf>
    <xf numFmtId="165" fontId="17" fillId="7" borderId="7" xfId="0" applyNumberFormat="1" applyFont="1" applyFill="1" applyBorder="1" applyAlignment="1" applyProtection="1">
      <alignment horizontal="left" vertical="center"/>
      <protection locked="0"/>
    </xf>
    <xf numFmtId="164" fontId="17" fillId="0" borderId="0" xfId="0" applyNumberFormat="1" applyFont="1" applyFill="1" applyBorder="1" applyAlignment="1" applyProtection="1">
      <alignment horizontal="left" vertical="center"/>
    </xf>
    <xf numFmtId="44" fontId="6" fillId="0" borderId="0" xfId="0" applyNumberFormat="1" applyFont="1" applyFill="1" applyBorder="1" applyAlignment="1" applyProtection="1">
      <alignment horizontal="center" vertical="center"/>
    </xf>
    <xf numFmtId="0" fontId="17" fillId="0" borderId="0" xfId="0" applyNumberFormat="1" applyFont="1" applyFill="1" applyBorder="1" applyAlignment="1" applyProtection="1">
      <alignment vertical="center"/>
      <protection locked="0"/>
    </xf>
    <xf numFmtId="44" fontId="7" fillId="4" borderId="0" xfId="0" applyNumberFormat="1" applyFont="1" applyFill="1" applyBorder="1" applyAlignment="1" applyProtection="1">
      <alignment horizontal="left" vertical="center"/>
    </xf>
    <xf numFmtId="44" fontId="7" fillId="8" borderId="0" xfId="0" applyNumberFormat="1" applyFont="1" applyFill="1" applyBorder="1" applyAlignment="1" applyProtection="1">
      <alignment horizontal="left" vertical="center"/>
    </xf>
    <xf numFmtId="0" fontId="30" fillId="0" borderId="0" xfId="0" applyNumberFormat="1" applyFont="1" applyFill="1" applyBorder="1" applyAlignment="1" applyProtection="1">
      <alignment vertical="center"/>
    </xf>
    <xf numFmtId="2" fontId="7" fillId="0" borderId="0" xfId="0" applyNumberFormat="1" applyFont="1" applyFill="1" applyBorder="1" applyAlignment="1" applyProtection="1">
      <alignment horizontal="left" vertical="center"/>
    </xf>
    <xf numFmtId="44" fontId="7" fillId="0" borderId="0" xfId="0" applyNumberFormat="1" applyFont="1" applyFill="1" applyBorder="1" applyAlignment="1" applyProtection="1">
      <alignment horizontal="left" vertical="center"/>
    </xf>
    <xf numFmtId="44" fontId="7" fillId="4" borderId="7" xfId="0" applyNumberFormat="1" applyFont="1" applyFill="1" applyBorder="1" applyAlignment="1" applyProtection="1">
      <alignment horizontal="left"/>
    </xf>
    <xf numFmtId="44" fontId="17" fillId="0" borderId="0" xfId="0" applyNumberFormat="1" applyFont="1" applyFill="1" applyBorder="1" applyAlignment="1" applyProtection="1"/>
    <xf numFmtId="0" fontId="7" fillId="8" borderId="11" xfId="0" applyNumberFormat="1" applyFont="1" applyFill="1" applyBorder="1" applyAlignment="1" applyProtection="1">
      <alignment horizontal="right"/>
    </xf>
    <xf numFmtId="0" fontId="7" fillId="4" borderId="8" xfId="0" applyNumberFormat="1" applyFont="1" applyFill="1" applyBorder="1" applyAlignment="1" applyProtection="1">
      <alignment wrapText="1"/>
    </xf>
    <xf numFmtId="165" fontId="17" fillId="9" borderId="8" xfId="0" applyNumberFormat="1" applyFont="1" applyFill="1" applyBorder="1" applyAlignment="1" applyProtection="1">
      <alignment horizontal="left"/>
      <protection locked="0"/>
    </xf>
    <xf numFmtId="0" fontId="17" fillId="8" borderId="0" xfId="0" applyNumberFormat="1" applyFont="1" applyFill="1" applyBorder="1" applyAlignment="1" applyProtection="1">
      <alignment horizontal="right" vertical="center"/>
    </xf>
    <xf numFmtId="44" fontId="17" fillId="9" borderId="9" xfId="0" applyNumberFormat="1" applyFont="1" applyFill="1" applyBorder="1" applyAlignment="1" applyProtection="1">
      <alignment horizontal="right" vertical="center"/>
      <protection locked="0"/>
    </xf>
    <xf numFmtId="44" fontId="17" fillId="9" borderId="10" xfId="0" applyNumberFormat="1" applyFont="1" applyFill="1" applyBorder="1" applyAlignment="1" applyProtection="1">
      <alignment horizontal="left" vertical="center"/>
      <protection locked="0"/>
    </xf>
    <xf numFmtId="44" fontId="7" fillId="4" borderId="9" xfId="0" applyNumberFormat="1" applyFont="1" applyFill="1" applyBorder="1" applyAlignment="1" applyProtection="1">
      <alignment horizontal="left" vertical="center"/>
    </xf>
    <xf numFmtId="44" fontId="7" fillId="4" borderId="9" xfId="0" applyNumberFormat="1" applyFont="1" applyFill="1" applyBorder="1" applyAlignment="1" applyProtection="1">
      <alignment vertical="center" wrapText="1"/>
    </xf>
    <xf numFmtId="0" fontId="17" fillId="0" borderId="0" xfId="0" applyNumberFormat="1" applyFont="1" applyFill="1" applyBorder="1" applyAlignment="1" applyProtection="1">
      <alignment horizontal="center"/>
      <protection locked="0"/>
    </xf>
    <xf numFmtId="44" fontId="17" fillId="4" borderId="9" xfId="0" applyNumberFormat="1" applyFont="1" applyFill="1" applyBorder="1" applyAlignment="1" applyProtection="1">
      <alignment horizontal="center" vertical="center"/>
      <protection locked="0"/>
    </xf>
    <xf numFmtId="44" fontId="7" fillId="9" borderId="9" xfId="0" applyNumberFormat="1" applyFont="1" applyFill="1" applyBorder="1" applyAlignment="1" applyProtection="1">
      <alignment horizontal="center" vertical="center" wrapText="1"/>
    </xf>
    <xf numFmtId="44" fontId="7" fillId="4" borderId="9" xfId="0" applyNumberFormat="1" applyFont="1" applyFill="1" applyBorder="1" applyAlignment="1" applyProtection="1">
      <alignment horizontal="center" vertical="center"/>
    </xf>
    <xf numFmtId="0" fontId="17" fillId="0" borderId="0" xfId="0" applyNumberFormat="1" applyFont="1" applyFill="1" applyBorder="1" applyAlignment="1" applyProtection="1">
      <alignment horizontal="center"/>
    </xf>
    <xf numFmtId="44" fontId="7" fillId="4" borderId="7" xfId="0" applyNumberFormat="1" applyFont="1" applyFill="1" applyBorder="1" applyAlignment="1" applyProtection="1">
      <alignment vertical="center" wrapText="1"/>
    </xf>
    <xf numFmtId="44" fontId="17" fillId="9" borderId="7" xfId="0" applyNumberFormat="1" applyFont="1" applyFill="1" applyBorder="1" applyAlignment="1" applyProtection="1">
      <alignment horizontal="left" vertical="center"/>
      <protection locked="0"/>
    </xf>
    <xf numFmtId="10" fontId="7" fillId="4" borderId="7" xfId="0" applyNumberFormat="1" applyFont="1" applyFill="1" applyBorder="1" applyAlignment="1" applyProtection="1">
      <alignment vertical="center" wrapText="1"/>
    </xf>
    <xf numFmtId="10" fontId="7" fillId="4" borderId="7" xfId="0" applyNumberFormat="1" applyFont="1" applyFill="1" applyBorder="1" applyAlignment="1" applyProtection="1">
      <alignment vertical="center" wrapText="1"/>
      <protection locked="0"/>
    </xf>
    <xf numFmtId="44" fontId="7" fillId="4" borderId="7" xfId="0" applyNumberFormat="1" applyFont="1" applyFill="1" applyBorder="1" applyAlignment="1" applyProtection="1">
      <alignment horizontal="left" vertical="center"/>
    </xf>
    <xf numFmtId="0" fontId="34" fillId="3" borderId="0" xfId="0" applyNumberFormat="1" applyFont="1" applyFill="1" applyBorder="1" applyAlignment="1" applyProtection="1">
      <alignment vertical="top" wrapText="1"/>
    </xf>
    <xf numFmtId="44" fontId="7" fillId="9" borderId="7" xfId="0" applyNumberFormat="1" applyFont="1" applyFill="1" applyBorder="1" applyAlignment="1" applyProtection="1">
      <alignment vertical="center" wrapText="1"/>
    </xf>
    <xf numFmtId="44" fontId="7" fillId="4" borderId="7" xfId="0" applyNumberFormat="1" applyFont="1" applyFill="1" applyBorder="1" applyAlignment="1" applyProtection="1">
      <alignment vertical="center" wrapText="1"/>
      <protection locked="0"/>
    </xf>
    <xf numFmtId="44" fontId="17" fillId="9" borderId="8" xfId="0" applyNumberFormat="1" applyFont="1" applyFill="1" applyBorder="1" applyAlignment="1" applyProtection="1">
      <alignment horizontal="left" vertical="center"/>
      <protection locked="0"/>
    </xf>
    <xf numFmtId="44" fontId="7" fillId="4" borderId="8" xfId="0" applyNumberFormat="1" applyFont="1" applyFill="1" applyBorder="1" applyAlignment="1" applyProtection="1">
      <alignment vertical="center" wrapText="1"/>
    </xf>
    <xf numFmtId="44" fontId="7" fillId="4" borderId="8" xfId="0" applyNumberFormat="1" applyFont="1" applyFill="1" applyBorder="1" applyAlignment="1" applyProtection="1">
      <alignment horizontal="left" vertical="center"/>
    </xf>
    <xf numFmtId="44" fontId="26" fillId="10" borderId="1" xfId="0" applyNumberFormat="1" applyFont="1" applyFill="1" applyBorder="1" applyAlignment="1" applyProtection="1">
      <alignment vertical="center"/>
    </xf>
    <xf numFmtId="0" fontId="5" fillId="3" borderId="0" xfId="0" applyNumberFormat="1" applyFont="1" applyFill="1" applyBorder="1" applyAlignment="1" applyProtection="1">
      <alignment vertical="top" wrapText="1"/>
    </xf>
    <xf numFmtId="44" fontId="26" fillId="10" borderId="2" xfId="0" applyNumberFormat="1" applyFont="1" applyFill="1" applyBorder="1" applyAlignment="1" applyProtection="1">
      <alignment vertical="center"/>
    </xf>
    <xf numFmtId="10" fontId="26" fillId="10" borderId="2" xfId="0" applyNumberFormat="1" applyFont="1" applyFill="1" applyBorder="1" applyAlignment="1" applyProtection="1">
      <alignment vertical="center"/>
    </xf>
    <xf numFmtId="0" fontId="2" fillId="3" borderId="0" xfId="0" applyNumberFormat="1" applyFont="1" applyFill="1" applyBorder="1" applyAlignment="1" applyProtection="1">
      <protection locked="0"/>
    </xf>
    <xf numFmtId="0" fontId="27" fillId="0" borderId="0" xfId="0" applyNumberFormat="1" applyFont="1" applyFill="1" applyBorder="1" applyAlignment="1" applyProtection="1">
      <alignment horizontal="right" vertical="center"/>
      <protection locked="0"/>
    </xf>
    <xf numFmtId="0" fontId="33" fillId="0" borderId="0" xfId="0" applyNumberFormat="1" applyFont="1" applyFill="1" applyBorder="1" applyAlignment="1" applyProtection="1">
      <protection locked="0"/>
    </xf>
    <xf numFmtId="10" fontId="26" fillId="10" borderId="1" xfId="0" applyNumberFormat="1" applyFont="1" applyFill="1" applyBorder="1" applyAlignment="1" applyProtection="1">
      <alignment vertical="center"/>
    </xf>
    <xf numFmtId="44" fontId="17" fillId="9" borderId="13" xfId="0" applyNumberFormat="1" applyFont="1" applyFill="1" applyBorder="1" applyAlignment="1" applyProtection="1">
      <alignment horizontal="left" vertical="center"/>
      <protection locked="0"/>
    </xf>
    <xf numFmtId="44" fontId="7" fillId="4" borderId="2" xfId="0" applyNumberFormat="1" applyFont="1" applyFill="1" applyBorder="1" applyAlignment="1" applyProtection="1">
      <alignment vertical="center" wrapText="1"/>
    </xf>
    <xf numFmtId="166" fontId="7" fillId="4" borderId="2" xfId="0" applyNumberFormat="1" applyFont="1" applyFill="1" applyBorder="1" applyAlignment="1" applyProtection="1">
      <alignment vertical="center" wrapText="1"/>
    </xf>
    <xf numFmtId="10" fontId="7" fillId="4" borderId="3" xfId="0" applyNumberFormat="1" applyFont="1" applyFill="1" applyBorder="1" applyAlignment="1" applyProtection="1">
      <alignment horizontal="center" vertical="center" wrapText="1"/>
    </xf>
    <xf numFmtId="0" fontId="17" fillId="3" borderId="0" xfId="0" applyNumberFormat="1" applyFont="1" applyFill="1" applyBorder="1" applyAlignment="1" applyProtection="1">
      <alignment vertical="center"/>
    </xf>
    <xf numFmtId="0" fontId="13" fillId="3" borderId="0" xfId="0" applyNumberFormat="1" applyFont="1" applyFill="1" applyBorder="1" applyAlignment="1" applyProtection="1"/>
    <xf numFmtId="0" fontId="2" fillId="3" borderId="0" xfId="0" applyNumberFormat="1" applyFont="1" applyFill="1" applyBorder="1" applyAlignment="1" applyProtection="1"/>
    <xf numFmtId="0" fontId="17" fillId="0" borderId="0" xfId="0" applyNumberFormat="1" applyFont="1" applyFill="1" applyBorder="1" applyAlignment="1" applyProtection="1">
      <alignment vertical="center"/>
      <protection locked="0"/>
    </xf>
    <xf numFmtId="0" fontId="17" fillId="0" borderId="0" xfId="0" applyNumberFormat="1" applyFont="1" applyFill="1" applyBorder="1" applyAlignment="1" applyProtection="1">
      <protection locked="0"/>
    </xf>
    <xf numFmtId="0" fontId="17" fillId="0" borderId="0" xfId="0" applyNumberFormat="1" applyFont="1" applyFill="1" applyBorder="1" applyAlignment="1" applyProtection="1">
      <alignment horizontal="center"/>
      <protection locked="0"/>
    </xf>
    <xf numFmtId="0" fontId="15" fillId="0" borderId="0" xfId="0" applyNumberFormat="1" applyFont="1" applyFill="1" applyBorder="1" applyAlignment="1" applyProtection="1">
      <alignment vertical="center"/>
      <protection locked="0"/>
    </xf>
    <xf numFmtId="0" fontId="25" fillId="0" borderId="0" xfId="0" applyNumberFormat="1" applyFont="1" applyFill="1" applyBorder="1" applyAlignment="1" applyProtection="1">
      <alignment horizontal="left" vertical="center"/>
    </xf>
    <xf numFmtId="0" fontId="13" fillId="0" borderId="0" xfId="0" applyNumberFormat="1" applyFont="1" applyFill="1" applyBorder="1" applyAlignment="1" applyProtection="1">
      <protection locked="0"/>
    </xf>
    <xf numFmtId="10" fontId="7" fillId="4" borderId="9" xfId="4" applyNumberFormat="1" applyFont="1" applyFill="1" applyBorder="1" applyAlignment="1" applyProtection="1">
      <alignment horizontal="right" vertical="center"/>
    </xf>
    <xf numFmtId="10" fontId="7" fillId="4" borderId="10" xfId="4" applyNumberFormat="1" applyFont="1" applyFill="1" applyBorder="1" applyAlignment="1" applyProtection="1">
      <alignment horizontal="right" vertical="center"/>
    </xf>
    <xf numFmtId="10" fontId="7" fillId="4" borderId="7" xfId="4" applyNumberFormat="1" applyFont="1" applyFill="1" applyBorder="1" applyAlignment="1" applyProtection="1">
      <alignment horizontal="right" vertical="center"/>
    </xf>
    <xf numFmtId="10" fontId="7" fillId="4" borderId="8" xfId="4" applyNumberFormat="1" applyFont="1" applyFill="1" applyBorder="1" applyAlignment="1" applyProtection="1">
      <alignment horizontal="right" vertical="center"/>
    </xf>
    <xf numFmtId="10" fontId="7" fillId="4" borderId="7" xfId="4" applyNumberFormat="1" applyFont="1" applyFill="1" applyBorder="1" applyAlignment="1" applyProtection="1">
      <alignment horizontal="right"/>
    </xf>
    <xf numFmtId="10" fontId="7" fillId="4" borderId="8" xfId="4" applyNumberFormat="1" applyFont="1" applyFill="1" applyBorder="1" applyAlignment="1" applyProtection="1">
      <alignment horizontal="right"/>
    </xf>
    <xf numFmtId="0" fontId="45" fillId="0" borderId="0" xfId="0" applyNumberFormat="1" applyFont="1" applyFill="1" applyBorder="1" applyAlignment="1" applyProtection="1"/>
    <xf numFmtId="0" fontId="1" fillId="12" borderId="0" xfId="0" applyNumberFormat="1" applyFont="1" applyFill="1" applyBorder="1" applyAlignment="1" applyProtection="1">
      <alignment horizontal="left"/>
    </xf>
    <xf numFmtId="0" fontId="2" fillId="12" borderId="0" xfId="0" applyNumberFormat="1" applyFont="1" applyFill="1" applyBorder="1" applyAlignment="1" applyProtection="1"/>
    <xf numFmtId="10" fontId="7" fillId="12" borderId="2" xfId="0" applyNumberFormat="1" applyFont="1" applyFill="1" applyBorder="1" applyAlignment="1" applyProtection="1">
      <alignment vertical="center" wrapText="1"/>
    </xf>
    <xf numFmtId="10" fontId="7" fillId="12" borderId="3" xfId="0" applyNumberFormat="1" applyFont="1" applyFill="1" applyBorder="1" applyAlignment="1" applyProtection="1">
      <alignment vertical="center" wrapText="1"/>
    </xf>
    <xf numFmtId="166" fontId="7" fillId="12" borderId="2" xfId="0" applyNumberFormat="1" applyFont="1" applyFill="1" applyBorder="1" applyAlignment="1" applyProtection="1">
      <alignment vertical="center" wrapText="1"/>
    </xf>
    <xf numFmtId="0" fontId="45" fillId="12" borderId="0" xfId="0" applyNumberFormat="1" applyFont="1" applyFill="1" applyBorder="1" applyAlignment="1" applyProtection="1"/>
    <xf numFmtId="165" fontId="17" fillId="12" borderId="7" xfId="0" applyNumberFormat="1" applyFont="1" applyFill="1" applyBorder="1" applyAlignment="1" applyProtection="1">
      <alignment horizontal="left" vertical="center"/>
      <protection locked="0"/>
    </xf>
    <xf numFmtId="44" fontId="7" fillId="12" borderId="2" xfId="0" applyNumberFormat="1" applyFont="1" applyFill="1" applyBorder="1" applyAlignment="1" applyProtection="1">
      <alignment vertical="center" wrapText="1"/>
    </xf>
    <xf numFmtId="43" fontId="23" fillId="12" borderId="1" xfId="0" applyNumberFormat="1" applyFont="1" applyFill="1" applyBorder="1" applyAlignment="1" applyProtection="1">
      <alignment horizontal="left" vertical="center"/>
      <protection locked="0"/>
    </xf>
    <xf numFmtId="43" fontId="23" fillId="12" borderId="2" xfId="0" applyNumberFormat="1" applyFont="1" applyFill="1" applyBorder="1" applyAlignment="1" applyProtection="1">
      <alignment horizontal="left" vertical="center"/>
      <protection locked="0"/>
    </xf>
    <xf numFmtId="43" fontId="23" fillId="12" borderId="3" xfId="0" applyNumberFormat="1" applyFont="1" applyFill="1" applyBorder="1" applyAlignment="1" applyProtection="1">
      <alignment horizontal="left" vertical="center"/>
      <protection locked="0"/>
    </xf>
    <xf numFmtId="165" fontId="17" fillId="12" borderId="8" xfId="0" applyNumberFormat="1" applyFont="1" applyFill="1" applyBorder="1" applyAlignment="1" applyProtection="1">
      <alignment horizontal="left"/>
      <protection locked="0"/>
    </xf>
    <xf numFmtId="44" fontId="17" fillId="12" borderId="9" xfId="0" applyNumberFormat="1" applyFont="1" applyFill="1" applyBorder="1" applyAlignment="1" applyProtection="1">
      <alignment horizontal="right" vertical="center"/>
      <protection locked="0"/>
    </xf>
    <xf numFmtId="44" fontId="17" fillId="12" borderId="10" xfId="0" applyNumberFormat="1" applyFont="1" applyFill="1" applyBorder="1" applyAlignment="1" applyProtection="1">
      <alignment horizontal="left" vertical="center"/>
      <protection locked="0"/>
    </xf>
    <xf numFmtId="44" fontId="7" fillId="12" borderId="9" xfId="0" applyNumberFormat="1" applyFont="1" applyFill="1" applyBorder="1" applyAlignment="1" applyProtection="1">
      <alignment horizontal="center" vertical="center" wrapText="1"/>
    </xf>
    <xf numFmtId="44" fontId="17" fillId="12" borderId="7" xfId="0" applyNumberFormat="1" applyFont="1" applyFill="1" applyBorder="1" applyAlignment="1" applyProtection="1">
      <alignment horizontal="left" vertical="center"/>
      <protection locked="0"/>
    </xf>
    <xf numFmtId="44" fontId="7" fillId="12" borderId="7" xfId="0" applyNumberFormat="1" applyFont="1" applyFill="1" applyBorder="1" applyAlignment="1" applyProtection="1">
      <alignment vertical="center" wrapText="1"/>
    </xf>
    <xf numFmtId="44" fontId="17" fillId="12" borderId="8" xfId="0" applyNumberFormat="1" applyFont="1" applyFill="1" applyBorder="1" applyAlignment="1" applyProtection="1">
      <alignment horizontal="left" vertical="center"/>
      <protection locked="0"/>
    </xf>
    <xf numFmtId="44" fontId="17" fillId="12" borderId="13" xfId="0" applyNumberFormat="1" applyFont="1" applyFill="1" applyBorder="1" applyAlignment="1" applyProtection="1">
      <alignment horizontal="left" vertical="center"/>
      <protection locked="0"/>
    </xf>
    <xf numFmtId="43" fontId="7" fillId="4" borderId="2" xfId="5" applyFont="1" applyFill="1" applyBorder="1" applyAlignment="1" applyProtection="1">
      <alignment horizontal="right" vertical="center"/>
    </xf>
    <xf numFmtId="4" fontId="7" fillId="4" borderId="2" xfId="5" applyNumberFormat="1" applyFont="1" applyFill="1" applyBorder="1" applyAlignment="1" applyProtection="1">
      <alignment vertical="center" wrapText="1"/>
    </xf>
    <xf numFmtId="4" fontId="7" fillId="12" borderId="2" xfId="0" applyNumberFormat="1" applyFont="1" applyFill="1" applyBorder="1" applyAlignment="1" applyProtection="1">
      <alignment vertical="center" wrapText="1"/>
    </xf>
    <xf numFmtId="0" fontId="1" fillId="0" borderId="0" xfId="0" applyNumberFormat="1" applyFont="1" applyFill="1" applyBorder="1" applyAlignment="1" applyProtection="1">
      <alignment horizontal="left"/>
    </xf>
    <xf numFmtId="0" fontId="3" fillId="2" borderId="1" xfId="0" applyNumberFormat="1" applyFont="1" applyFill="1" applyBorder="1" applyAlignment="1" applyProtection="1">
      <alignment vertical="center"/>
    </xf>
    <xf numFmtId="0" fontId="42" fillId="11" borderId="0" xfId="0" applyNumberFormat="1" applyFont="1" applyFill="1" applyBorder="1" applyAlignment="1" applyProtection="1">
      <alignment horizontal="left" vertical="top" wrapText="1"/>
    </xf>
    <xf numFmtId="0" fontId="8" fillId="3" borderId="0" xfId="0" applyNumberFormat="1" applyFont="1" applyFill="1" applyBorder="1" applyAlignment="1" applyProtection="1">
      <alignment horizontal="left" vertical="top" wrapText="1"/>
    </xf>
    <xf numFmtId="0" fontId="17" fillId="0" borderId="0" xfId="0" applyNumberFormat="1" applyFont="1" applyFill="1" applyBorder="1" applyAlignment="1" applyProtection="1">
      <alignment vertical="center"/>
      <protection locked="0"/>
    </xf>
    <xf numFmtId="0" fontId="17" fillId="0" borderId="0" xfId="0" applyNumberFormat="1" applyFont="1" applyFill="1" applyBorder="1" applyAlignment="1" applyProtection="1">
      <protection locked="0"/>
    </xf>
    <xf numFmtId="0" fontId="17" fillId="0" borderId="0" xfId="0" applyNumberFormat="1" applyFont="1" applyFill="1" applyBorder="1" applyAlignment="1" applyProtection="1">
      <alignment horizontal="center"/>
      <protection locked="0"/>
    </xf>
    <xf numFmtId="0" fontId="38" fillId="5" borderId="0" xfId="0" applyNumberFormat="1" applyFont="1" applyFill="1" applyBorder="1" applyAlignment="1" applyProtection="1">
      <alignment horizontal="left" vertical="center"/>
    </xf>
    <xf numFmtId="0" fontId="3" fillId="2" borderId="1" xfId="0" applyNumberFormat="1" applyFont="1" applyFill="1" applyBorder="1" applyAlignment="1" applyProtection="1">
      <alignment horizontal="left" vertical="center"/>
    </xf>
    <xf numFmtId="10" fontId="14" fillId="5" borderId="6" xfId="0" applyNumberFormat="1" applyFont="1" applyFill="1" applyBorder="1" applyAlignment="1" applyProtection="1">
      <alignment horizontal="left" vertical="center"/>
    </xf>
    <xf numFmtId="0" fontId="3" fillId="2" borderId="2" xfId="0" applyNumberFormat="1" applyFont="1" applyFill="1" applyBorder="1" applyAlignment="1" applyProtection="1">
      <alignment vertical="center"/>
    </xf>
    <xf numFmtId="0" fontId="3" fillId="2" borderId="2" xfId="0" applyNumberFormat="1" applyFont="1" applyFill="1" applyBorder="1" applyAlignment="1" applyProtection="1">
      <alignment horizontal="left" vertical="center" wrapText="1"/>
    </xf>
    <xf numFmtId="0" fontId="3" fillId="2" borderId="12" xfId="0" applyNumberFormat="1" applyFont="1" applyFill="1" applyBorder="1" applyAlignment="1" applyProtection="1">
      <alignment horizontal="left" vertical="center" wrapText="1"/>
    </xf>
    <xf numFmtId="0" fontId="35" fillId="3" borderId="0" xfId="0" applyNumberFormat="1" applyFont="1" applyFill="1" applyBorder="1" applyAlignment="1" applyProtection="1">
      <alignment horizontal="left" vertical="top" wrapText="1"/>
    </xf>
    <xf numFmtId="0" fontId="15" fillId="0" borderId="0" xfId="0" applyNumberFormat="1" applyFont="1" applyFill="1" applyBorder="1" applyAlignment="1" applyProtection="1">
      <alignment vertical="center"/>
      <protection locked="0"/>
    </xf>
    <xf numFmtId="0" fontId="25" fillId="0" borderId="0" xfId="0" applyNumberFormat="1" applyFont="1" applyFill="1" applyBorder="1" applyAlignment="1" applyProtection="1">
      <alignment horizontal="left" vertical="center"/>
    </xf>
    <xf numFmtId="0" fontId="13" fillId="0" borderId="0" xfId="0" applyNumberFormat="1" applyFont="1" applyFill="1" applyBorder="1" applyAlignment="1" applyProtection="1">
      <protection locked="0"/>
    </xf>
    <xf numFmtId="0" fontId="25" fillId="0" borderId="3" xfId="0" applyNumberFormat="1" applyFont="1" applyFill="1" applyBorder="1" applyAlignment="1" applyProtection="1">
      <alignment horizontal="left" vertical="center"/>
    </xf>
    <xf numFmtId="0" fontId="21" fillId="3" borderId="0" xfId="0" applyNumberFormat="1" applyFont="1" applyFill="1" applyBorder="1" applyAlignment="1" applyProtection="1">
      <alignment horizontal="left" vertical="top" wrapText="1"/>
    </xf>
    <xf numFmtId="0" fontId="42" fillId="12" borderId="0" xfId="0" applyNumberFormat="1" applyFont="1" applyFill="1" applyBorder="1" applyAlignment="1" applyProtection="1">
      <alignment horizontal="left" vertical="top" wrapText="1"/>
    </xf>
  </cellXfs>
  <cellStyles count="6">
    <cellStyle name="Comma" xfId="5" builtinId="3"/>
    <cellStyle name="Currency 2" xfId="3"/>
    <cellStyle name="Normal" xfId="0" builtinId="0"/>
    <cellStyle name="Normal 2" xfId="1"/>
    <cellStyle name="Percent" xfId="4" builtinId="5"/>
    <cellStyle name="Percent 2" xfId="2"/>
  </cellStyles>
  <dxfs count="4">
    <dxf>
      <font>
        <b/>
        <i val="0"/>
        <color theme="0"/>
      </font>
      <fill>
        <patternFill>
          <bgColor rgb="FFC00000"/>
        </patternFill>
      </fill>
    </dxf>
    <dxf>
      <font>
        <b/>
        <i val="0"/>
        <color theme="0"/>
      </font>
      <fill>
        <patternFill>
          <bgColor theme="9"/>
        </patternFill>
      </fill>
    </dxf>
    <dxf>
      <font>
        <b/>
        <i val="0"/>
        <color theme="0"/>
      </font>
      <fill>
        <patternFill>
          <bgColor rgb="FFC00000"/>
        </patternFill>
      </fill>
    </dxf>
    <dxf>
      <font>
        <b/>
        <i val="0"/>
        <color theme="0"/>
      </font>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Radio" checked="Checked" firstButton="1" fmlaLink="$B$9"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firstButton="1" fmlaLink="$B$9" lockText="1" noThreeD="1"/>
</file>

<file path=xl/ctrlProps/ctrlProp4.xml><?xml version="1.0" encoding="utf-8"?>
<formControlPr xmlns="http://schemas.microsoft.com/office/spreadsheetml/2009/9/main" objectType="Radio"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8</xdr:row>
          <xdr:rowOff>57150</xdr:rowOff>
        </xdr:from>
        <xdr:to>
          <xdr:col>1</xdr:col>
          <xdr:colOff>485775</xdr:colOff>
          <xdr:row>9</xdr:row>
          <xdr:rowOff>28575</xdr:rowOff>
        </xdr:to>
        <xdr:sp macro="" textlink="">
          <xdr:nvSpPr>
            <xdr:cNvPr id="2049" name="gmaxYes" hidden="1">
              <a:extLst>
                <a:ext uri="{63B3BB69-23CF-44E3-9099-C40C66FF867C}">
                  <a14:compatExt spid="_x0000_s2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8</xdr:row>
          <xdr:rowOff>66675</xdr:rowOff>
        </xdr:from>
        <xdr:to>
          <xdr:col>1</xdr:col>
          <xdr:colOff>1057275</xdr:colOff>
          <xdr:row>9</xdr:row>
          <xdr:rowOff>19050</xdr:rowOff>
        </xdr:to>
        <xdr:sp macro="" textlink="">
          <xdr:nvSpPr>
            <xdr:cNvPr id="2050" name="gmaxNo"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8</xdr:row>
          <xdr:rowOff>57150</xdr:rowOff>
        </xdr:from>
        <xdr:to>
          <xdr:col>1</xdr:col>
          <xdr:colOff>485775</xdr:colOff>
          <xdr:row>9</xdr:row>
          <xdr:rowOff>28575</xdr:rowOff>
        </xdr:to>
        <xdr:sp macro="" textlink="">
          <xdr:nvSpPr>
            <xdr:cNvPr id="4097" name="gmaxYes" hidden="1">
              <a:extLst>
                <a:ext uri="{63B3BB69-23CF-44E3-9099-C40C66FF867C}">
                  <a14:compatExt spid="_x0000_s4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8</xdr:row>
          <xdr:rowOff>66675</xdr:rowOff>
        </xdr:from>
        <xdr:to>
          <xdr:col>1</xdr:col>
          <xdr:colOff>1057275</xdr:colOff>
          <xdr:row>9</xdr:row>
          <xdr:rowOff>19050</xdr:rowOff>
        </xdr:to>
        <xdr:sp macro="" textlink="">
          <xdr:nvSpPr>
            <xdr:cNvPr id="4098" name="gmaxNo" hidden="1">
              <a:extLst>
                <a:ext uri="{63B3BB69-23CF-44E3-9099-C40C66FF867C}">
                  <a14:compatExt spid="_x0000_s4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mailto:substantiations@mckinstry.com?subject=Gross%20Margin%20Analysis%20Workbook%20Question" TargetMode="External"/><Relationship Id="rId1" Type="http://schemas.openxmlformats.org/officeDocument/2006/relationships/hyperlink" Target="http://bn.mckinstry.com/DC/Project%20Support/Field%20Labor%20and%20Staff%20Rates.xlsx"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3.bin"/><Relationship Id="rId7" Type="http://schemas.openxmlformats.org/officeDocument/2006/relationships/ctrlProp" Target="../ctrlProps/ctrlProp4.xml"/><Relationship Id="rId2" Type="http://schemas.openxmlformats.org/officeDocument/2006/relationships/hyperlink" Target="mailto:substantiations@mckinstry.com?subject=Gross%20Margin%20Analysis%20Workbook%20Question" TargetMode="External"/><Relationship Id="rId1" Type="http://schemas.openxmlformats.org/officeDocument/2006/relationships/hyperlink" Target="http://bn.mckinstry.com/DC/Project%20Support/Field%20Labor%20and%20Staff%20Rates.xlsx"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7"/>
  <sheetViews>
    <sheetView showGridLines="0" workbookViewId="0">
      <selection sqref="A1:K1"/>
    </sheetView>
  </sheetViews>
  <sheetFormatPr defaultColWidth="17.5" defaultRowHeight="15" x14ac:dyDescent="0.25"/>
  <cols>
    <col min="1" max="1" width="26.125" style="68" customWidth="1"/>
    <col min="2" max="16384" width="17.5" style="68"/>
  </cols>
  <sheetData>
    <row r="1" spans="1:11" ht="26.25" x14ac:dyDescent="0.4">
      <c r="A1" s="171" t="s">
        <v>70</v>
      </c>
      <c r="B1" s="171"/>
      <c r="C1" s="171"/>
      <c r="D1" s="171"/>
      <c r="E1" s="171"/>
      <c r="F1" s="171"/>
      <c r="G1" s="171"/>
      <c r="H1" s="171"/>
      <c r="I1" s="171"/>
      <c r="J1" s="171"/>
      <c r="K1" s="171"/>
    </row>
    <row r="2" spans="1:11" ht="15" customHeight="1" x14ac:dyDescent="0.25">
      <c r="A2" s="2"/>
      <c r="B2" s="2"/>
      <c r="C2" s="2"/>
      <c r="D2" s="2"/>
      <c r="E2" s="2"/>
    </row>
    <row r="3" spans="1:11" ht="15" customHeight="1" x14ac:dyDescent="0.25"/>
    <row r="4" spans="1:11" ht="15" customHeight="1" x14ac:dyDescent="0.25">
      <c r="A4" s="69"/>
      <c r="B4" s="70"/>
      <c r="C4" s="70"/>
      <c r="D4" s="70"/>
      <c r="E4" s="70"/>
    </row>
    <row r="5" spans="1:11" ht="15" customHeight="1" x14ac:dyDescent="0.25">
      <c r="A5" s="69"/>
      <c r="B5" s="70"/>
      <c r="C5" s="70"/>
      <c r="D5" s="70"/>
      <c r="E5" s="70"/>
    </row>
    <row r="6" spans="1:11" ht="15" customHeight="1" x14ac:dyDescent="0.25">
      <c r="A6" s="72" t="s">
        <v>80</v>
      </c>
      <c r="B6" s="70"/>
      <c r="C6" s="70"/>
      <c r="D6" s="70"/>
      <c r="E6" s="70"/>
    </row>
    <row r="7" spans="1:11" ht="15" customHeight="1" x14ac:dyDescent="0.25">
      <c r="A7" s="69"/>
      <c r="B7" s="70"/>
      <c r="C7" s="70"/>
      <c r="D7" s="70"/>
      <c r="E7" s="70"/>
    </row>
    <row r="8" spans="1:11" ht="15" customHeight="1" x14ac:dyDescent="0.25">
      <c r="A8" s="72" t="s">
        <v>45</v>
      </c>
      <c r="B8" s="70"/>
      <c r="C8" s="70"/>
      <c r="D8" s="70"/>
      <c r="E8" s="70"/>
    </row>
    <row r="9" spans="1:11" ht="15" customHeight="1" x14ac:dyDescent="0.25">
      <c r="A9" s="73" t="s">
        <v>46</v>
      </c>
      <c r="B9" s="70"/>
      <c r="C9" s="70"/>
      <c r="D9" s="70"/>
      <c r="E9" s="70"/>
    </row>
    <row r="10" spans="1:11" ht="15" customHeight="1" x14ac:dyDescent="0.25">
      <c r="A10" s="74" t="s">
        <v>47</v>
      </c>
      <c r="B10" s="70"/>
      <c r="C10" s="70"/>
      <c r="D10" s="70"/>
      <c r="E10" s="70"/>
    </row>
    <row r="11" spans="1:11" ht="15" customHeight="1" x14ac:dyDescent="0.25">
      <c r="A11" s="75"/>
      <c r="B11" s="70"/>
      <c r="C11" s="70"/>
      <c r="D11" s="70"/>
      <c r="E11" s="70"/>
    </row>
    <row r="12" spans="1:11" ht="15" customHeight="1" x14ac:dyDescent="0.25">
      <c r="A12" s="76" t="s">
        <v>31</v>
      </c>
      <c r="B12" s="70"/>
      <c r="C12" s="70"/>
      <c r="D12" s="70"/>
      <c r="E12" s="70"/>
    </row>
    <row r="13" spans="1:11" ht="15" customHeight="1" x14ac:dyDescent="0.25">
      <c r="A13" s="77" t="s">
        <v>32</v>
      </c>
      <c r="B13" s="70"/>
      <c r="C13" s="70"/>
      <c r="D13" s="70"/>
      <c r="E13" s="70"/>
    </row>
    <row r="14" spans="1:11" ht="15" customHeight="1" x14ac:dyDescent="0.25">
      <c r="A14" s="77" t="s">
        <v>33</v>
      </c>
      <c r="B14" s="70"/>
      <c r="C14" s="70"/>
      <c r="D14" s="70"/>
      <c r="E14" s="70"/>
    </row>
    <row r="15" spans="1:11" ht="15" customHeight="1" x14ac:dyDescent="0.25">
      <c r="A15" s="77" t="s">
        <v>34</v>
      </c>
      <c r="B15" s="70"/>
      <c r="C15" s="70"/>
      <c r="D15" s="70"/>
      <c r="E15" s="70"/>
    </row>
    <row r="16" spans="1:11" ht="15" customHeight="1" x14ac:dyDescent="0.25">
      <c r="A16" s="77" t="s">
        <v>35</v>
      </c>
      <c r="B16" s="70"/>
      <c r="C16" s="70"/>
      <c r="D16" s="70"/>
      <c r="E16" s="70"/>
    </row>
    <row r="17" spans="1:5" ht="15" customHeight="1" x14ac:dyDescent="0.25">
      <c r="A17" s="77" t="s">
        <v>36</v>
      </c>
      <c r="B17" s="70"/>
      <c r="C17" s="70"/>
      <c r="D17" s="70"/>
      <c r="E17" s="70"/>
    </row>
    <row r="18" spans="1:5" ht="15" customHeight="1" x14ac:dyDescent="0.25">
      <c r="A18" s="77" t="s">
        <v>0</v>
      </c>
      <c r="B18" s="70"/>
      <c r="C18" s="70"/>
      <c r="D18" s="70"/>
      <c r="E18" s="70"/>
    </row>
    <row r="19" spans="1:5" ht="15" customHeight="1" x14ac:dyDescent="0.25">
      <c r="A19" s="77" t="s">
        <v>79</v>
      </c>
      <c r="B19" s="70"/>
      <c r="C19" s="70"/>
      <c r="D19" s="70"/>
      <c r="E19" s="70"/>
    </row>
    <row r="20" spans="1:5" ht="15" customHeight="1" x14ac:dyDescent="0.25">
      <c r="A20" s="75"/>
      <c r="B20" s="70"/>
      <c r="C20" s="70"/>
      <c r="D20" s="70"/>
      <c r="E20" s="70"/>
    </row>
    <row r="21" spans="1:5" ht="15" customHeight="1" x14ac:dyDescent="0.25">
      <c r="A21" s="78" t="s">
        <v>38</v>
      </c>
      <c r="B21" s="70"/>
      <c r="C21" s="70"/>
      <c r="D21" s="70"/>
      <c r="E21" s="70"/>
    </row>
    <row r="22" spans="1:5" ht="15" customHeight="1" x14ac:dyDescent="0.25">
      <c r="A22" s="78" t="s">
        <v>81</v>
      </c>
      <c r="B22" s="70"/>
      <c r="C22" s="70"/>
      <c r="D22" s="70"/>
      <c r="E22" s="70"/>
    </row>
    <row r="23" spans="1:5" ht="15" customHeight="1" x14ac:dyDescent="0.25">
      <c r="A23" s="78" t="s">
        <v>37</v>
      </c>
      <c r="B23" s="70"/>
      <c r="C23" s="70"/>
      <c r="D23" s="70"/>
      <c r="E23" s="70"/>
    </row>
    <row r="24" spans="1:5" ht="15" customHeight="1" x14ac:dyDescent="0.25">
      <c r="A24" s="77" t="s">
        <v>39</v>
      </c>
      <c r="B24" s="70"/>
      <c r="C24" s="70"/>
      <c r="D24" s="70"/>
      <c r="E24" s="70"/>
    </row>
    <row r="25" spans="1:5" ht="15" customHeight="1" x14ac:dyDescent="0.25">
      <c r="A25" s="77" t="s">
        <v>48</v>
      </c>
      <c r="B25" s="70"/>
      <c r="C25" s="70"/>
      <c r="D25" s="70"/>
      <c r="E25" s="70"/>
    </row>
    <row r="26" spans="1:5" x14ac:dyDescent="0.25">
      <c r="B26" s="70"/>
      <c r="C26" s="70"/>
      <c r="D26" s="70"/>
      <c r="E26" s="70"/>
    </row>
    <row r="27" spans="1:5" x14ac:dyDescent="0.25">
      <c r="A27" s="77"/>
    </row>
  </sheetData>
  <dataConsolidate/>
  <mergeCells count="1">
    <mergeCell ref="A1:K1"/>
  </mergeCell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61"/>
  <sheetViews>
    <sheetView showGridLines="0" tabSelected="1" zoomScaleNormal="100" workbookViewId="0">
      <selection activeCell="A3" activeCellId="1" sqref="A1:XFD1048576 A3:E3"/>
    </sheetView>
  </sheetViews>
  <sheetFormatPr defaultColWidth="29.25" defaultRowHeight="15" x14ac:dyDescent="0.25"/>
  <cols>
    <col min="1" max="1" width="27.875" style="68" customWidth="1"/>
    <col min="2" max="3" width="14.5" style="68" customWidth="1"/>
    <col min="4" max="4" width="14.375" style="68" customWidth="1"/>
    <col min="5" max="5" width="15.375" style="68" customWidth="1"/>
    <col min="6" max="6" width="9.875" style="68" customWidth="1"/>
    <col min="7" max="7" width="60.375" style="68" customWidth="1"/>
    <col min="8" max="16384" width="29.25" style="68"/>
  </cols>
  <sheetData>
    <row r="1" spans="1:7" ht="26.25" x14ac:dyDescent="0.4">
      <c r="A1" s="1" t="s">
        <v>69</v>
      </c>
      <c r="B1" s="2"/>
      <c r="C1" s="2"/>
      <c r="D1" s="1"/>
      <c r="E1" s="2"/>
      <c r="F1" s="2"/>
      <c r="G1" s="2"/>
    </row>
    <row r="2" spans="1:7" x14ac:dyDescent="0.25">
      <c r="A2" s="2"/>
      <c r="B2" s="2"/>
      <c r="C2" s="2"/>
      <c r="D2" s="2"/>
      <c r="E2" s="2"/>
      <c r="F2" s="2"/>
      <c r="G2" s="2"/>
    </row>
    <row r="3" spans="1:7" ht="21" customHeight="1" x14ac:dyDescent="0.25">
      <c r="A3" s="172" t="s">
        <v>40</v>
      </c>
      <c r="B3" s="172"/>
      <c r="C3" s="172"/>
      <c r="D3" s="172"/>
      <c r="E3" s="172"/>
      <c r="F3" s="3"/>
      <c r="G3" s="79" t="s">
        <v>49</v>
      </c>
    </row>
    <row r="4" spans="1:7" ht="19.5" customHeight="1" x14ac:dyDescent="0.25">
      <c r="A4" s="4" t="s">
        <v>50</v>
      </c>
      <c r="B4" s="5">
        <v>0</v>
      </c>
      <c r="C4" s="2"/>
      <c r="D4" s="4" t="s">
        <v>0</v>
      </c>
      <c r="E4" s="131">
        <v>0</v>
      </c>
      <c r="F4" s="2"/>
      <c r="G4" s="184" t="s">
        <v>74</v>
      </c>
    </row>
    <row r="5" spans="1:7" ht="19.5" customHeight="1" x14ac:dyDescent="0.25">
      <c r="A5" s="80" t="s">
        <v>72</v>
      </c>
      <c r="B5" s="5">
        <v>0</v>
      </c>
      <c r="C5" s="2"/>
      <c r="D5" s="4" t="s">
        <v>1</v>
      </c>
      <c r="E5" s="5">
        <v>0</v>
      </c>
      <c r="F5" s="6"/>
      <c r="G5" s="184"/>
    </row>
    <row r="6" spans="1:7" ht="19.5" customHeight="1" x14ac:dyDescent="0.25">
      <c r="A6" s="4" t="s">
        <v>44</v>
      </c>
      <c r="B6" s="5">
        <v>0</v>
      </c>
      <c r="C6" s="2"/>
      <c r="D6" s="4" t="s">
        <v>2</v>
      </c>
      <c r="E6" s="5">
        <v>0</v>
      </c>
      <c r="F6" s="6"/>
      <c r="G6" s="184"/>
    </row>
    <row r="7" spans="1:7" ht="19.5" customHeight="1" x14ac:dyDescent="0.25">
      <c r="A7" s="4" t="s">
        <v>3</v>
      </c>
      <c r="B7" s="7">
        <v>0</v>
      </c>
      <c r="C7" s="2"/>
      <c r="D7" s="4" t="s">
        <v>4</v>
      </c>
      <c r="E7" s="5">
        <v>0</v>
      </c>
      <c r="F7" s="6"/>
      <c r="G7" s="184"/>
    </row>
    <row r="8" spans="1:7" ht="19.5" customHeight="1" x14ac:dyDescent="0.25">
      <c r="A8" s="2"/>
      <c r="B8" s="2"/>
      <c r="C8" s="2"/>
      <c r="D8" s="4" t="s">
        <v>5</v>
      </c>
      <c r="E8" s="7">
        <v>0</v>
      </c>
      <c r="F8" s="6"/>
      <c r="G8" s="184"/>
    </row>
    <row r="9" spans="1:7" ht="18.75" customHeight="1" x14ac:dyDescent="0.25">
      <c r="A9" s="81" t="s">
        <v>6</v>
      </c>
      <c r="B9" s="148">
        <v>1</v>
      </c>
      <c r="C9" s="8"/>
      <c r="D9" s="9"/>
      <c r="E9" s="10"/>
      <c r="F9" s="6"/>
      <c r="G9" s="184"/>
    </row>
    <row r="10" spans="1:7" ht="27.75" customHeight="1" x14ac:dyDescent="0.25">
      <c r="A10" s="82" t="s">
        <v>7</v>
      </c>
      <c r="B10" s="173"/>
      <c r="C10" s="173"/>
      <c r="D10" s="173"/>
      <c r="E10" s="173"/>
      <c r="F10" s="11"/>
      <c r="G10" s="184"/>
    </row>
    <row r="11" spans="1:7" ht="21" customHeight="1" x14ac:dyDescent="0.25">
      <c r="A11" s="179" t="s">
        <v>8</v>
      </c>
      <c r="B11" s="179"/>
      <c r="C11" s="179"/>
      <c r="D11" s="179"/>
      <c r="E11" s="179"/>
      <c r="F11" s="12"/>
      <c r="G11" s="184"/>
    </row>
    <row r="12" spans="1:7" s="83" customFormat="1" ht="15.75" customHeight="1" thickBot="1" x14ac:dyDescent="0.25">
      <c r="A12" s="13"/>
      <c r="B12" s="180" t="s">
        <v>9</v>
      </c>
      <c r="C12" s="180"/>
      <c r="D12" s="180"/>
      <c r="E12" s="14"/>
      <c r="F12" s="15"/>
      <c r="G12" s="187"/>
    </row>
    <row r="13" spans="1:7" s="84" customFormat="1" ht="25.5" customHeight="1" thickBot="1" x14ac:dyDescent="0.25">
      <c r="A13" s="17"/>
      <c r="B13" s="18" t="s">
        <v>11</v>
      </c>
      <c r="C13" s="18" t="s">
        <v>51</v>
      </c>
      <c r="D13" s="18" t="s">
        <v>12</v>
      </c>
      <c r="E13" s="19"/>
      <c r="F13" s="20"/>
      <c r="G13" s="185"/>
    </row>
    <row r="14" spans="1:7" s="84" customFormat="1" ht="20.25" customHeight="1" x14ac:dyDescent="0.25">
      <c r="A14" s="17"/>
      <c r="B14" s="132">
        <v>0</v>
      </c>
      <c r="C14" s="132">
        <v>0</v>
      </c>
      <c r="D14" s="132">
        <v>0</v>
      </c>
      <c r="E14" s="20"/>
      <c r="F14" s="21"/>
      <c r="G14" s="185"/>
    </row>
    <row r="15" spans="1:7" s="84" customFormat="1" x14ac:dyDescent="0.25">
      <c r="A15" s="17"/>
      <c r="B15" s="22"/>
      <c r="C15" s="22"/>
      <c r="D15" s="22"/>
      <c r="E15" s="20"/>
      <c r="F15" s="21"/>
      <c r="G15" s="185"/>
    </row>
    <row r="16" spans="1:7" ht="15.75" x14ac:dyDescent="0.25">
      <c r="A16" s="23"/>
      <c r="B16" s="178" t="s">
        <v>73</v>
      </c>
      <c r="C16" s="178"/>
      <c r="D16" s="178"/>
      <c r="E16" s="24"/>
      <c r="F16" s="25"/>
      <c r="G16" s="125"/>
    </row>
    <row r="17" spans="1:7" s="84" customFormat="1" ht="25.5" customHeight="1" thickBot="1" x14ac:dyDescent="0.35">
      <c r="A17" s="17"/>
      <c r="B17" s="26" t="s">
        <v>11</v>
      </c>
      <c r="C17" s="26" t="s">
        <v>54</v>
      </c>
      <c r="D17" s="27" t="s">
        <v>12</v>
      </c>
      <c r="E17" s="20"/>
      <c r="F17" s="21"/>
      <c r="G17" s="16" t="s">
        <v>10</v>
      </c>
    </row>
    <row r="18" spans="1:7" s="84" customFormat="1" ht="21" customHeight="1" thickBot="1" x14ac:dyDescent="0.3">
      <c r="A18" s="28" t="s">
        <v>55</v>
      </c>
      <c r="B18" s="64">
        <v>0</v>
      </c>
      <c r="C18" s="64">
        <v>0</v>
      </c>
      <c r="D18" s="86">
        <v>0</v>
      </c>
      <c r="E18" s="29"/>
      <c r="F18" s="21"/>
      <c r="G18" s="184" t="s">
        <v>52</v>
      </c>
    </row>
    <row r="19" spans="1:7" s="84" customFormat="1" ht="21" customHeight="1" thickBot="1" x14ac:dyDescent="0.3">
      <c r="A19" s="28" t="s">
        <v>13</v>
      </c>
      <c r="B19" s="30" t="s">
        <v>14</v>
      </c>
      <c r="C19" s="64">
        <v>0</v>
      </c>
      <c r="D19" s="64">
        <v>0</v>
      </c>
      <c r="E19" s="87"/>
      <c r="F19" s="21"/>
      <c r="G19" s="185"/>
    </row>
    <row r="20" spans="1:7" s="84" customFormat="1" ht="21" customHeight="1" thickBot="1" x14ac:dyDescent="0.3">
      <c r="A20" s="28" t="s">
        <v>56</v>
      </c>
      <c r="B20" s="32">
        <f>SUM(B18:B19)</f>
        <v>0</v>
      </c>
      <c r="C20" s="32">
        <f>SUM(C18:C19)</f>
        <v>0</v>
      </c>
      <c r="D20" s="32">
        <f>SUM(D18:D19)</f>
        <v>0</v>
      </c>
      <c r="E20" s="88"/>
      <c r="F20" s="21"/>
      <c r="G20" s="185"/>
    </row>
    <row r="21" spans="1:7" s="89" customFormat="1" ht="21" customHeight="1" thickBot="1" x14ac:dyDescent="0.3">
      <c r="A21" s="28" t="s">
        <v>15</v>
      </c>
      <c r="B21" s="33">
        <f>B18*B14</f>
        <v>0</v>
      </c>
      <c r="C21" s="33">
        <f>C18*C14</f>
        <v>0</v>
      </c>
      <c r="D21" s="33">
        <f>(D18*C14)+(D18*D14)</f>
        <v>0</v>
      </c>
      <c r="E21" s="34"/>
      <c r="F21" s="35"/>
      <c r="G21" s="175"/>
    </row>
    <row r="22" spans="1:7" s="89" customFormat="1" ht="21" customHeight="1" thickBot="1" x14ac:dyDescent="0.3">
      <c r="A22" s="36" t="s">
        <v>57</v>
      </c>
      <c r="B22" s="33">
        <f>B20+B21</f>
        <v>0</v>
      </c>
      <c r="C22" s="33">
        <f>C20+C21</f>
        <v>0</v>
      </c>
      <c r="D22" s="33">
        <f>D20+D21</f>
        <v>0</v>
      </c>
      <c r="E22" s="34"/>
      <c r="F22" s="35"/>
      <c r="G22" s="85" t="s">
        <v>53</v>
      </c>
    </row>
    <row r="23" spans="1:7" s="89" customFormat="1" ht="21" customHeight="1" x14ac:dyDescent="0.25">
      <c r="A23" s="36"/>
      <c r="B23" s="37"/>
      <c r="C23" s="37"/>
      <c r="D23" s="37"/>
      <c r="E23" s="34"/>
      <c r="F23" s="35"/>
      <c r="G23" s="31"/>
    </row>
    <row r="24" spans="1:7" s="71" customFormat="1" ht="21" customHeight="1" x14ac:dyDescent="0.3">
      <c r="A24" s="172" t="s">
        <v>71</v>
      </c>
      <c r="B24" s="172"/>
      <c r="C24" s="172"/>
      <c r="D24" s="172"/>
      <c r="E24" s="172"/>
      <c r="F24" s="38"/>
      <c r="G24" s="16" t="s">
        <v>58</v>
      </c>
    </row>
    <row r="25" spans="1:7" s="89" customFormat="1" ht="21" customHeight="1" x14ac:dyDescent="0.25">
      <c r="A25" s="41" t="s">
        <v>42</v>
      </c>
      <c r="B25" s="169">
        <v>0</v>
      </c>
      <c r="C25" s="40"/>
      <c r="E25" s="43" t="s">
        <v>59</v>
      </c>
      <c r="F25" s="40"/>
      <c r="G25" s="31"/>
    </row>
    <row r="26" spans="1:7" s="89" customFormat="1" ht="21" customHeight="1" x14ac:dyDescent="0.25">
      <c r="A26" s="41" t="s">
        <v>41</v>
      </c>
      <c r="B26" s="130">
        <v>0</v>
      </c>
      <c r="D26" s="40"/>
      <c r="E26" s="90">
        <f>B26-(SUM(B36:B38))</f>
        <v>0</v>
      </c>
      <c r="F26" s="40"/>
      <c r="G26" s="174" t="s">
        <v>75</v>
      </c>
    </row>
    <row r="27" spans="1:7" s="89" customFormat="1" ht="21" customHeight="1" x14ac:dyDescent="0.25">
      <c r="A27" s="41" t="s">
        <v>43</v>
      </c>
      <c r="B27" s="130">
        <v>0</v>
      </c>
      <c r="C27" s="40"/>
      <c r="D27" s="40"/>
      <c r="E27" s="40"/>
      <c r="F27" s="42"/>
      <c r="G27" s="175"/>
    </row>
    <row r="28" spans="1:7" s="89" customFormat="1" ht="21" customHeight="1" x14ac:dyDescent="0.25">
      <c r="A28" s="39" t="s">
        <v>60</v>
      </c>
      <c r="B28" s="130">
        <v>0</v>
      </c>
      <c r="C28" s="91"/>
      <c r="D28" s="40"/>
      <c r="E28" s="40"/>
      <c r="F28" s="92"/>
      <c r="G28" s="175"/>
    </row>
    <row r="29" spans="1:7" s="89" customFormat="1" ht="21" customHeight="1" x14ac:dyDescent="0.25">
      <c r="A29" s="181" t="s">
        <v>16</v>
      </c>
      <c r="B29" s="181"/>
      <c r="C29" s="181"/>
      <c r="D29" s="181"/>
      <c r="E29" s="181"/>
      <c r="F29" s="46"/>
      <c r="G29" s="175"/>
    </row>
    <row r="30" spans="1:7" s="89" customFormat="1" ht="36" customHeight="1" x14ac:dyDescent="0.25">
      <c r="A30" s="39"/>
      <c r="B30" s="43" t="s">
        <v>17</v>
      </c>
      <c r="C30" s="44" t="s">
        <v>61</v>
      </c>
      <c r="D30" s="45"/>
      <c r="E30" s="43" t="s">
        <v>62</v>
      </c>
      <c r="F30" s="46"/>
      <c r="G30" s="175"/>
    </row>
    <row r="31" spans="1:7" s="89" customFormat="1" ht="21" customHeight="1" x14ac:dyDescent="0.25">
      <c r="A31" s="39" t="s">
        <v>18</v>
      </c>
      <c r="B31" s="65">
        <v>0</v>
      </c>
      <c r="C31" s="168">
        <v>1000</v>
      </c>
      <c r="D31" s="93"/>
      <c r="E31" s="47">
        <f>ProjHours-SUM(B31:B33)</f>
        <v>0</v>
      </c>
      <c r="F31" s="46"/>
      <c r="G31" s="175"/>
    </row>
    <row r="32" spans="1:7" s="71" customFormat="1" ht="21" customHeight="1" x14ac:dyDescent="0.2">
      <c r="A32" s="48" t="s">
        <v>19</v>
      </c>
      <c r="B32" s="66">
        <v>0</v>
      </c>
      <c r="C32" s="168"/>
      <c r="D32" s="46"/>
      <c r="E32" s="46"/>
      <c r="F32" s="50"/>
      <c r="G32" s="176"/>
    </row>
    <row r="33" spans="1:7" s="71" customFormat="1" ht="21" customHeight="1" x14ac:dyDescent="0.2">
      <c r="A33" s="49" t="s">
        <v>20</v>
      </c>
      <c r="B33" s="67">
        <v>0</v>
      </c>
      <c r="C33" s="168"/>
      <c r="D33" s="94"/>
      <c r="E33" s="46"/>
      <c r="F33" s="53"/>
      <c r="G33" s="176"/>
    </row>
    <row r="34" spans="1:7" s="71" customFormat="1" ht="21" customHeight="1" x14ac:dyDescent="0.2">
      <c r="A34" s="182" t="s">
        <v>63</v>
      </c>
      <c r="B34" s="182"/>
      <c r="C34" s="182"/>
      <c r="D34" s="182"/>
      <c r="E34" s="182"/>
      <c r="F34" s="55"/>
      <c r="G34" s="176"/>
    </row>
    <row r="35" spans="1:7" s="89" customFormat="1" ht="26.25" customHeight="1" thickBot="1" x14ac:dyDescent="0.3">
      <c r="A35" s="51"/>
      <c r="B35" s="52" t="s">
        <v>21</v>
      </c>
      <c r="C35" s="52" t="s">
        <v>64</v>
      </c>
      <c r="D35" s="52" t="s">
        <v>22</v>
      </c>
      <c r="E35" s="52" t="s">
        <v>23</v>
      </c>
      <c r="F35" s="34"/>
      <c r="G35" s="175"/>
    </row>
    <row r="36" spans="1:7" s="71" customFormat="1" ht="21.75" customHeight="1" thickBot="1" x14ac:dyDescent="0.25">
      <c r="A36" s="54" t="s">
        <v>65</v>
      </c>
      <c r="B36" s="95">
        <f>(+B32*C22)+(B33*((TB_Shop+(TB_Shop*C14))+UF_Shop))</f>
        <v>0</v>
      </c>
      <c r="C36" s="95">
        <f>((B32*C20)+B32*(C20*B5))+((B33*D20)+B33*(D20*B5))</f>
        <v>0</v>
      </c>
      <c r="D36" s="95">
        <f>C36-B36</f>
        <v>0</v>
      </c>
      <c r="E36" s="146" t="e">
        <f>D36/ProjFinalCost</f>
        <v>#DIV/0!</v>
      </c>
      <c r="F36" s="96"/>
      <c r="G36" s="176"/>
    </row>
    <row r="37" spans="1:7" s="71" customFormat="1" ht="21.75" customHeight="1" thickBot="1" x14ac:dyDescent="0.25">
      <c r="A37" s="54" t="s">
        <v>66</v>
      </c>
      <c r="B37" s="95">
        <f>B31*B22</f>
        <v>0</v>
      </c>
      <c r="C37" s="95">
        <f>(+TB_Staff+(TB_Staff*ActualStaffBurden))*B31</f>
        <v>0</v>
      </c>
      <c r="D37" s="95">
        <f>C37-B37</f>
        <v>0</v>
      </c>
      <c r="E37" s="146" t="e">
        <f>D37/ProjFinalCost</f>
        <v>#DIV/0!</v>
      </c>
      <c r="F37" s="55"/>
      <c r="G37" s="176"/>
    </row>
    <row r="38" spans="1:7" s="71" customFormat="1" ht="21.75" customHeight="1" thickBot="1" x14ac:dyDescent="0.25">
      <c r="A38" s="54" t="s">
        <v>44</v>
      </c>
      <c r="B38" s="95">
        <f>B33*D18*D14</f>
        <v>0</v>
      </c>
      <c r="C38" s="95">
        <f>B33*D20*ContractShopBurden</f>
        <v>0</v>
      </c>
      <c r="D38" s="95">
        <f>C38 - B38</f>
        <v>0</v>
      </c>
      <c r="E38" s="146" t="e">
        <f>D38/ProjFinalCost</f>
        <v>#DIV/0!</v>
      </c>
      <c r="F38" s="55"/>
      <c r="G38" s="176"/>
    </row>
    <row r="39" spans="1:7" s="71" customFormat="1" ht="21.75" customHeight="1" x14ac:dyDescent="0.2">
      <c r="A39" s="97" t="s">
        <v>26</v>
      </c>
      <c r="B39" s="98"/>
      <c r="C39" s="98"/>
      <c r="D39" s="99">
        <v>0</v>
      </c>
      <c r="E39" s="147" t="e">
        <f xml:space="preserve"> D39/ProjFinalCost</f>
        <v>#DIV/0!</v>
      </c>
      <c r="F39" s="55"/>
      <c r="G39" s="176"/>
    </row>
    <row r="40" spans="1:7" s="71" customFormat="1" ht="21.75" customHeight="1" x14ac:dyDescent="0.2">
      <c r="A40" s="182" t="s">
        <v>24</v>
      </c>
      <c r="B40" s="182"/>
      <c r="C40" s="182"/>
      <c r="D40" s="182"/>
      <c r="E40" s="183"/>
      <c r="F40" s="55"/>
      <c r="G40" s="176"/>
    </row>
    <row r="41" spans="1:7" s="71" customFormat="1" ht="21.75" customHeight="1" thickBot="1" x14ac:dyDescent="0.25">
      <c r="A41" s="100" t="s">
        <v>25</v>
      </c>
      <c r="B41" s="101">
        <v>0</v>
      </c>
      <c r="C41" s="102">
        <v>0</v>
      </c>
      <c r="D41" s="103">
        <f>C41-B41</f>
        <v>0</v>
      </c>
      <c r="E41" s="142" t="e">
        <f>D41/ProjFinalCost</f>
        <v>#DIV/0!</v>
      </c>
      <c r="F41" s="55"/>
      <c r="G41" s="176"/>
    </row>
    <row r="42" spans="1:7" s="71" customFormat="1" ht="21.75" customHeight="1" thickBot="1" x14ac:dyDescent="0.25">
      <c r="A42" s="56" t="s">
        <v>2</v>
      </c>
      <c r="B42" s="101">
        <v>0</v>
      </c>
      <c r="C42" s="104">
        <f>SUM(C36:C38)*SmallTools</f>
        <v>0</v>
      </c>
      <c r="D42" s="103">
        <f>C42-B42</f>
        <v>0</v>
      </c>
      <c r="E42" s="143" t="e">
        <f>D42/ProjFinalCost</f>
        <v>#DIV/0!</v>
      </c>
      <c r="F42" s="55"/>
      <c r="G42" s="176"/>
    </row>
    <row r="43" spans="1:7" s="105" customFormat="1" ht="21.75" customHeight="1" thickBot="1" x14ac:dyDescent="0.25">
      <c r="A43" s="56" t="s">
        <v>67</v>
      </c>
      <c r="B43" s="106"/>
      <c r="C43" s="107">
        <v>0</v>
      </c>
      <c r="D43" s="108">
        <f>C43-B43</f>
        <v>0</v>
      </c>
      <c r="E43" s="142" t="e">
        <f>D43/ProjFinalCost</f>
        <v>#DIV/0!</v>
      </c>
      <c r="F43" s="109"/>
      <c r="G43" s="177"/>
    </row>
    <row r="44" spans="1:7" s="71" customFormat="1" ht="25.5" customHeight="1" thickBot="1" x14ac:dyDescent="0.25">
      <c r="A44" s="57" t="s">
        <v>27</v>
      </c>
      <c r="B44" s="110"/>
      <c r="C44" s="110"/>
      <c r="D44" s="111">
        <v>0</v>
      </c>
      <c r="E44" s="142" t="e">
        <f>D44/ProjFinalCost</f>
        <v>#DIV/0!</v>
      </c>
      <c r="F44" s="55"/>
      <c r="G44" s="176"/>
    </row>
    <row r="45" spans="1:7" s="71" customFormat="1" ht="21.75" customHeight="1" thickBot="1" x14ac:dyDescent="0.25">
      <c r="A45" s="58" t="s">
        <v>28</v>
      </c>
      <c r="B45" s="112">
        <v>0</v>
      </c>
      <c r="C45" s="113">
        <f>GLI</f>
        <v>0</v>
      </c>
      <c r="D45" s="114"/>
      <c r="E45" s="144">
        <f>C45-B45</f>
        <v>0</v>
      </c>
      <c r="F45" s="55"/>
      <c r="G45" s="115"/>
    </row>
    <row r="46" spans="1:7" s="71" customFormat="1" ht="21.75" customHeight="1" thickBot="1" x14ac:dyDescent="0.25">
      <c r="A46" s="56" t="s">
        <v>0</v>
      </c>
      <c r="B46" s="112">
        <v>0</v>
      </c>
      <c r="C46" s="112">
        <f>+BandO</f>
        <v>0</v>
      </c>
      <c r="D46" s="114"/>
      <c r="E46" s="144">
        <f>+C46-B46</f>
        <v>0</v>
      </c>
      <c r="F46" s="55"/>
      <c r="G46" s="115"/>
    </row>
    <row r="47" spans="1:7" s="71" customFormat="1" ht="21.75" customHeight="1" thickBot="1" x14ac:dyDescent="0.25">
      <c r="A47" s="56" t="s">
        <v>4</v>
      </c>
      <c r="B47" s="116">
        <v>0</v>
      </c>
      <c r="C47" s="117">
        <f>SUM(C36:C38) * E7</f>
        <v>0</v>
      </c>
      <c r="D47" s="114">
        <f>C47-B47</f>
        <v>0</v>
      </c>
      <c r="E47" s="144" t="e">
        <f>D47/ProjFinalCost</f>
        <v>#DIV/0!</v>
      </c>
      <c r="F47" s="55"/>
      <c r="G47" s="115"/>
    </row>
    <row r="48" spans="1:7" s="71" customFormat="1" ht="21.75" customHeight="1" thickBot="1" x14ac:dyDescent="0.25">
      <c r="A48" s="56" t="s">
        <v>5</v>
      </c>
      <c r="B48" s="118">
        <v>0</v>
      </c>
      <c r="C48" s="119">
        <f>B59*Bond</f>
        <v>0</v>
      </c>
      <c r="D48" s="120">
        <f>C48-B48</f>
        <v>0</v>
      </c>
      <c r="E48" s="145" t="e">
        <f xml:space="preserve"> D48/ProjFinalCost</f>
        <v>#DIV/0!</v>
      </c>
      <c r="F48" s="55"/>
      <c r="G48" s="115"/>
    </row>
    <row r="49" spans="1:7" s="89" customFormat="1" ht="21.75" customHeight="1" x14ac:dyDescent="0.25">
      <c r="A49" s="56" t="s">
        <v>29</v>
      </c>
      <c r="B49" s="118">
        <v>0</v>
      </c>
      <c r="C49" s="118">
        <v>0</v>
      </c>
      <c r="D49" s="120">
        <f>C49-B49</f>
        <v>0</v>
      </c>
      <c r="E49" s="145" t="e">
        <f xml:space="preserve"> D49/ProjFinalCost</f>
        <v>#DIV/0!</v>
      </c>
      <c r="F49" s="34"/>
      <c r="G49" s="115"/>
    </row>
    <row r="50" spans="1:7" s="89" customFormat="1" ht="21.75" customHeight="1" x14ac:dyDescent="0.25">
      <c r="A50" s="182" t="s">
        <v>30</v>
      </c>
      <c r="B50" s="182"/>
      <c r="C50" s="182"/>
      <c r="D50" s="182"/>
      <c r="E50" s="182"/>
      <c r="F50" s="34"/>
      <c r="G50" s="133"/>
    </row>
    <row r="51" spans="1:7" s="89" customFormat="1" ht="22.5" customHeight="1" x14ac:dyDescent="0.25">
      <c r="A51" s="59"/>
      <c r="B51" s="60"/>
      <c r="C51" s="121">
        <f>B27+C36+C37+C38+D39+D41+D42+D43+D44+D47+D48+D49</f>
        <v>0</v>
      </c>
      <c r="D51" s="188" t="s">
        <v>31</v>
      </c>
      <c r="E51" s="188"/>
      <c r="F51" s="34"/>
      <c r="G51" s="122" t="s">
        <v>68</v>
      </c>
    </row>
    <row r="52" spans="1:7" s="89" customFormat="1" ht="22.5" customHeight="1" x14ac:dyDescent="0.25">
      <c r="A52" s="61"/>
      <c r="B52" s="60"/>
      <c r="C52" s="123">
        <f>C51*GLI</f>
        <v>0</v>
      </c>
      <c r="D52" s="186" t="s">
        <v>32</v>
      </c>
      <c r="E52" s="186"/>
      <c r="F52" s="62"/>
      <c r="G52" s="189" t="s">
        <v>76</v>
      </c>
    </row>
    <row r="53" spans="1:7" s="89" customFormat="1" ht="22.5" customHeight="1" x14ac:dyDescent="0.25">
      <c r="A53" s="61"/>
      <c r="B53" s="60"/>
      <c r="C53" s="123">
        <f>SUM(C51:C52)</f>
        <v>0</v>
      </c>
      <c r="D53" s="186" t="s">
        <v>33</v>
      </c>
      <c r="E53" s="186"/>
      <c r="F53" s="62"/>
      <c r="G53" s="175"/>
    </row>
    <row r="54" spans="1:7" s="89" customFormat="1" ht="22.5" customHeight="1" x14ac:dyDescent="0.25">
      <c r="B54" s="63"/>
      <c r="C54" s="124">
        <f>BaseFee</f>
        <v>0</v>
      </c>
      <c r="D54" s="186" t="s">
        <v>34</v>
      </c>
      <c r="E54" s="186"/>
      <c r="F54" s="62"/>
      <c r="G54" s="175"/>
    </row>
    <row r="55" spans="1:7" ht="22.5" customHeight="1" x14ac:dyDescent="0.25">
      <c r="A55" s="61"/>
      <c r="B55" s="60"/>
      <c r="C55" s="123">
        <f>C53*C54</f>
        <v>0</v>
      </c>
      <c r="D55" s="186" t="s">
        <v>35</v>
      </c>
      <c r="E55" s="186"/>
      <c r="G55" s="189"/>
    </row>
    <row r="56" spans="1:7" ht="22.5" customHeight="1" x14ac:dyDescent="0.25">
      <c r="A56" s="61"/>
      <c r="B56" s="89"/>
      <c r="C56" s="123">
        <f>C53+C55</f>
        <v>0</v>
      </c>
      <c r="D56" s="186" t="s">
        <v>36</v>
      </c>
      <c r="E56" s="186"/>
      <c r="G56" s="125"/>
    </row>
    <row r="57" spans="1:7" ht="22.5" customHeight="1" x14ac:dyDescent="0.25">
      <c r="C57" s="123">
        <f>BandO*C56</f>
        <v>0</v>
      </c>
      <c r="D57" s="186" t="s">
        <v>0</v>
      </c>
      <c r="E57" s="186"/>
      <c r="G57" s="122" t="s">
        <v>77</v>
      </c>
    </row>
    <row r="58" spans="1:7" ht="22.5" customHeight="1" x14ac:dyDescent="0.25">
      <c r="C58" s="123">
        <f>SUM(C56:C57)</f>
        <v>0</v>
      </c>
      <c r="D58" s="186" t="s">
        <v>79</v>
      </c>
      <c r="E58" s="186"/>
      <c r="G58" s="134" t="s">
        <v>78</v>
      </c>
    </row>
    <row r="59" spans="1:7" ht="22.5" customHeight="1" x14ac:dyDescent="0.25">
      <c r="A59" s="126" t="s">
        <v>38</v>
      </c>
      <c r="B59" s="129">
        <v>0</v>
      </c>
      <c r="D59" s="127"/>
      <c r="G59" s="135"/>
    </row>
    <row r="60" spans="1:7" ht="22.5" customHeight="1" x14ac:dyDescent="0.25">
      <c r="A60" s="61" t="s">
        <v>39</v>
      </c>
      <c r="B60" s="128" t="e">
        <f>IF(B9=1, (MIN(B59,C58)-ProjFinalCost)/ProjFinalCost, (JECTED_FINAL_CONTRACT_PRG - ProjFinalCost)/ProjFinalCost )</f>
        <v>#DIV/0!</v>
      </c>
      <c r="G60" s="135"/>
    </row>
    <row r="61" spans="1:7" ht="22.5" customHeight="1" x14ac:dyDescent="0.25">
      <c r="A61" s="61" t="s">
        <v>48</v>
      </c>
      <c r="B61" s="124" t="e">
        <f>B60/(1+B60)</f>
        <v>#DIV/0!</v>
      </c>
      <c r="G61" s="135"/>
    </row>
  </sheetData>
  <sheetProtection formatCells="0" formatColumns="0" formatRows="0"/>
  <dataConsolidate/>
  <mergeCells count="22">
    <mergeCell ref="D57:E57"/>
    <mergeCell ref="D58:E58"/>
    <mergeCell ref="G4:G15"/>
    <mergeCell ref="D53:E53"/>
    <mergeCell ref="D54:E54"/>
    <mergeCell ref="D55:E55"/>
    <mergeCell ref="D56:E56"/>
    <mergeCell ref="A50:E50"/>
    <mergeCell ref="D51:E51"/>
    <mergeCell ref="D52:E52"/>
    <mergeCell ref="G52:G55"/>
    <mergeCell ref="A3:E3"/>
    <mergeCell ref="B10:E10"/>
    <mergeCell ref="G26:G44"/>
    <mergeCell ref="B16:D16"/>
    <mergeCell ref="A11:E11"/>
    <mergeCell ref="B12:D12"/>
    <mergeCell ref="A24:E24"/>
    <mergeCell ref="A29:E29"/>
    <mergeCell ref="A34:E34"/>
    <mergeCell ref="A40:E40"/>
    <mergeCell ref="G18:G21"/>
  </mergeCells>
  <conditionalFormatting sqref="C58">
    <cfRule type="expression" dxfId="3" priority="1">
      <formula>$C$58&lt;$B$59</formula>
    </cfRule>
    <cfRule type="expression" dxfId="2" priority="3">
      <formula>$C$58&gt;$B$59</formula>
    </cfRule>
  </conditionalFormatting>
  <hyperlinks>
    <hyperlink ref="G22" r:id="rId1" display="http://bn.mckinstry.com/DC/Project Support/Field Labor and Staff Rates.xlsx"/>
    <hyperlink ref="G58" r:id="rId2" display="mailto:substantiations@mckinstry.com?subject=Gross%20Margin%20Analysis%20Workbook%20Question"/>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gmaxYes">
              <controlPr defaultSize="0" autoFill="0" autoLine="0" autoPict="0">
                <anchor moveWithCells="1">
                  <from>
                    <xdr:col>1</xdr:col>
                    <xdr:colOff>104775</xdr:colOff>
                    <xdr:row>8</xdr:row>
                    <xdr:rowOff>57150</xdr:rowOff>
                  </from>
                  <to>
                    <xdr:col>1</xdr:col>
                    <xdr:colOff>485775</xdr:colOff>
                    <xdr:row>9</xdr:row>
                    <xdr:rowOff>28575</xdr:rowOff>
                  </to>
                </anchor>
              </controlPr>
            </control>
          </mc:Choice>
        </mc:AlternateContent>
        <mc:AlternateContent xmlns:mc="http://schemas.openxmlformats.org/markup-compatibility/2006">
          <mc:Choice Requires="x14">
            <control shapeId="2050" r:id="rId7" name="gmaxNo">
              <controlPr defaultSize="0" autoFill="0" autoLine="0" autoPict="0">
                <anchor moveWithCells="1">
                  <from>
                    <xdr:col>1</xdr:col>
                    <xdr:colOff>590550</xdr:colOff>
                    <xdr:row>8</xdr:row>
                    <xdr:rowOff>66675</xdr:rowOff>
                  </from>
                  <to>
                    <xdr:col>1</xdr:col>
                    <xdr:colOff>1057275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61"/>
  <sheetViews>
    <sheetView showGridLines="0" zoomScaleNormal="100" workbookViewId="0">
      <selection activeCell="A3" activeCellId="1" sqref="A1:XFD1048576 A3:E3"/>
    </sheetView>
  </sheetViews>
  <sheetFormatPr defaultColWidth="29.25" defaultRowHeight="15" x14ac:dyDescent="0.25"/>
  <cols>
    <col min="1" max="1" width="27.875" style="68" customWidth="1"/>
    <col min="2" max="3" width="14.5" style="68" customWidth="1"/>
    <col min="4" max="4" width="14.375" style="68" customWidth="1"/>
    <col min="5" max="5" width="15.375" style="68" customWidth="1"/>
    <col min="6" max="6" width="9.875" style="68" customWidth="1"/>
    <col min="7" max="7" width="60.375" style="68" customWidth="1"/>
    <col min="8" max="16384" width="29.25" style="68"/>
  </cols>
  <sheetData>
    <row r="1" spans="1:7" ht="26.25" x14ac:dyDescent="0.4">
      <c r="A1" s="149" t="s">
        <v>82</v>
      </c>
      <c r="B1" s="150"/>
      <c r="C1" s="150"/>
      <c r="D1" s="149"/>
      <c r="E1" s="150"/>
      <c r="F1" s="150"/>
      <c r="G1" s="150"/>
    </row>
    <row r="2" spans="1:7" x14ac:dyDescent="0.25">
      <c r="A2" s="2"/>
      <c r="B2" s="2"/>
      <c r="C2" s="2"/>
      <c r="D2" s="2"/>
      <c r="E2" s="2"/>
      <c r="F2" s="2"/>
      <c r="G2" s="2"/>
    </row>
    <row r="3" spans="1:7" ht="21" customHeight="1" x14ac:dyDescent="0.25">
      <c r="A3" s="172" t="s">
        <v>40</v>
      </c>
      <c r="B3" s="172"/>
      <c r="C3" s="172"/>
      <c r="D3" s="172"/>
      <c r="E3" s="172"/>
      <c r="F3" s="3"/>
      <c r="G3" s="79" t="s">
        <v>49</v>
      </c>
    </row>
    <row r="4" spans="1:7" ht="19.5" customHeight="1" x14ac:dyDescent="0.25">
      <c r="A4" s="4" t="s">
        <v>50</v>
      </c>
      <c r="B4" s="151">
        <v>0</v>
      </c>
      <c r="C4" s="2"/>
      <c r="D4" s="4" t="s">
        <v>0</v>
      </c>
      <c r="E4" s="153">
        <v>0</v>
      </c>
      <c r="F4" s="2"/>
      <c r="G4" s="184" t="s">
        <v>74</v>
      </c>
    </row>
    <row r="5" spans="1:7" ht="19.5" customHeight="1" x14ac:dyDescent="0.25">
      <c r="A5" s="80" t="s">
        <v>72</v>
      </c>
      <c r="B5" s="151">
        <v>0</v>
      </c>
      <c r="C5" s="2"/>
      <c r="D5" s="4" t="s">
        <v>1</v>
      </c>
      <c r="E5" s="151">
        <v>0</v>
      </c>
      <c r="F5" s="6"/>
      <c r="G5" s="184"/>
    </row>
    <row r="6" spans="1:7" ht="19.5" customHeight="1" x14ac:dyDescent="0.25">
      <c r="A6" s="4" t="s">
        <v>44</v>
      </c>
      <c r="B6" s="151">
        <v>0</v>
      </c>
      <c r="C6" s="2"/>
      <c r="D6" s="4" t="s">
        <v>2</v>
      </c>
      <c r="E6" s="151">
        <v>0</v>
      </c>
      <c r="F6" s="6"/>
      <c r="G6" s="184"/>
    </row>
    <row r="7" spans="1:7" ht="19.5" customHeight="1" x14ac:dyDescent="0.25">
      <c r="A7" s="4" t="s">
        <v>3</v>
      </c>
      <c r="B7" s="152">
        <v>0</v>
      </c>
      <c r="C7" s="2"/>
      <c r="D7" s="4" t="s">
        <v>4</v>
      </c>
      <c r="E7" s="151">
        <v>0</v>
      </c>
      <c r="F7" s="6"/>
      <c r="G7" s="184"/>
    </row>
    <row r="8" spans="1:7" ht="19.5" customHeight="1" x14ac:dyDescent="0.25">
      <c r="A8" s="2"/>
      <c r="B8" s="2"/>
      <c r="C8" s="2"/>
      <c r="D8" s="4" t="s">
        <v>5</v>
      </c>
      <c r="E8" s="152">
        <v>0</v>
      </c>
      <c r="F8" s="6"/>
      <c r="G8" s="184"/>
    </row>
    <row r="9" spans="1:7" ht="18.75" customHeight="1" x14ac:dyDescent="0.25">
      <c r="A9" s="81" t="s">
        <v>6</v>
      </c>
      <c r="B9" s="154">
        <v>1</v>
      </c>
      <c r="C9" s="8"/>
      <c r="D9" s="9"/>
      <c r="E9" s="10"/>
      <c r="F9" s="6"/>
      <c r="G9" s="184"/>
    </row>
    <row r="10" spans="1:7" ht="27.75" customHeight="1" x14ac:dyDescent="0.25">
      <c r="A10" s="82" t="s">
        <v>7</v>
      </c>
      <c r="B10" s="190"/>
      <c r="C10" s="190"/>
      <c r="D10" s="190"/>
      <c r="E10" s="190"/>
      <c r="F10" s="11"/>
      <c r="G10" s="184"/>
    </row>
    <row r="11" spans="1:7" ht="21" customHeight="1" x14ac:dyDescent="0.25">
      <c r="A11" s="179" t="s">
        <v>8</v>
      </c>
      <c r="B11" s="179"/>
      <c r="C11" s="179"/>
      <c r="D11" s="179"/>
      <c r="E11" s="179"/>
      <c r="F11" s="12"/>
      <c r="G11" s="184"/>
    </row>
    <row r="12" spans="1:7" s="141" customFormat="1" ht="15.75" customHeight="1" thickBot="1" x14ac:dyDescent="0.25">
      <c r="A12" s="13"/>
      <c r="B12" s="180" t="s">
        <v>9</v>
      </c>
      <c r="C12" s="180"/>
      <c r="D12" s="180"/>
      <c r="E12" s="14"/>
      <c r="F12" s="15"/>
      <c r="G12" s="187"/>
    </row>
    <row r="13" spans="1:7" s="139" customFormat="1" ht="25.5" customHeight="1" thickBot="1" x14ac:dyDescent="0.25">
      <c r="A13" s="17"/>
      <c r="B13" s="18" t="s">
        <v>11</v>
      </c>
      <c r="C13" s="18" t="s">
        <v>51</v>
      </c>
      <c r="D13" s="18" t="s">
        <v>12</v>
      </c>
      <c r="E13" s="19"/>
      <c r="F13" s="20"/>
      <c r="G13" s="185"/>
    </row>
    <row r="14" spans="1:7" s="139" customFormat="1" ht="20.25" customHeight="1" x14ac:dyDescent="0.25">
      <c r="A14" s="17"/>
      <c r="B14" s="132">
        <v>0.49</v>
      </c>
      <c r="C14" s="132">
        <v>0.185</v>
      </c>
      <c r="D14" s="132">
        <v>0.52</v>
      </c>
      <c r="E14" s="20"/>
      <c r="F14" s="21"/>
      <c r="G14" s="185"/>
    </row>
    <row r="15" spans="1:7" s="139" customFormat="1" x14ac:dyDescent="0.25">
      <c r="A15" s="17"/>
      <c r="B15" s="22"/>
      <c r="C15" s="22"/>
      <c r="D15" s="22"/>
      <c r="E15" s="20"/>
      <c r="F15" s="21"/>
      <c r="G15" s="185"/>
    </row>
    <row r="16" spans="1:7" ht="15.75" x14ac:dyDescent="0.25">
      <c r="A16" s="23"/>
      <c r="B16" s="178" t="s">
        <v>73</v>
      </c>
      <c r="C16" s="178"/>
      <c r="D16" s="178"/>
      <c r="E16" s="24"/>
      <c r="F16" s="25"/>
      <c r="G16" s="125"/>
    </row>
    <row r="17" spans="1:7" s="139" customFormat="1" ht="25.5" customHeight="1" thickBot="1" x14ac:dyDescent="0.35">
      <c r="A17" s="17"/>
      <c r="B17" s="26" t="s">
        <v>11</v>
      </c>
      <c r="C17" s="26" t="s">
        <v>54</v>
      </c>
      <c r="D17" s="27" t="s">
        <v>12</v>
      </c>
      <c r="E17" s="20"/>
      <c r="F17" s="21"/>
      <c r="G17" s="16" t="s">
        <v>10</v>
      </c>
    </row>
    <row r="18" spans="1:7" s="139" customFormat="1" ht="21" customHeight="1" thickBot="1" x14ac:dyDescent="0.3">
      <c r="A18" s="28" t="s">
        <v>55</v>
      </c>
      <c r="B18" s="155">
        <v>0</v>
      </c>
      <c r="C18" s="155">
        <v>0</v>
      </c>
      <c r="D18" s="155">
        <v>0</v>
      </c>
      <c r="E18" s="29"/>
      <c r="F18" s="21"/>
      <c r="G18" s="184" t="s">
        <v>52</v>
      </c>
    </row>
    <row r="19" spans="1:7" s="139" customFormat="1" ht="21" customHeight="1" thickBot="1" x14ac:dyDescent="0.3">
      <c r="A19" s="28" t="s">
        <v>13</v>
      </c>
      <c r="B19" s="30" t="s">
        <v>14</v>
      </c>
      <c r="C19" s="155">
        <v>0</v>
      </c>
      <c r="D19" s="155">
        <v>0</v>
      </c>
      <c r="E19" s="87"/>
      <c r="F19" s="21"/>
      <c r="G19" s="185"/>
    </row>
    <row r="20" spans="1:7" s="139" customFormat="1" ht="21" customHeight="1" thickBot="1" x14ac:dyDescent="0.3">
      <c r="A20" s="28" t="s">
        <v>56</v>
      </c>
      <c r="B20" s="32">
        <f>SUM(B18:B19)</f>
        <v>0</v>
      </c>
      <c r="C20" s="32">
        <f>SUM(C18:C19)</f>
        <v>0</v>
      </c>
      <c r="D20" s="32">
        <f>SUM(D18:D19)</f>
        <v>0</v>
      </c>
      <c r="E20" s="88"/>
      <c r="F20" s="21"/>
      <c r="G20" s="185"/>
    </row>
    <row r="21" spans="1:7" s="136" customFormat="1" ht="21" customHeight="1" thickBot="1" x14ac:dyDescent="0.3">
      <c r="A21" s="28" t="s">
        <v>15</v>
      </c>
      <c r="B21" s="33">
        <f>B18*B14</f>
        <v>0</v>
      </c>
      <c r="C21" s="33">
        <f>C18*C14</f>
        <v>0</v>
      </c>
      <c r="D21" s="33">
        <f>(D18*C14)+(D18*D14)</f>
        <v>0</v>
      </c>
      <c r="E21" s="34"/>
      <c r="F21" s="35"/>
      <c r="G21" s="175"/>
    </row>
    <row r="22" spans="1:7" s="136" customFormat="1" ht="21" customHeight="1" thickBot="1" x14ac:dyDescent="0.3">
      <c r="A22" s="36" t="s">
        <v>57</v>
      </c>
      <c r="B22" s="33">
        <f>B20+B21</f>
        <v>0</v>
      </c>
      <c r="C22" s="33">
        <f>C20+C21</f>
        <v>0</v>
      </c>
      <c r="D22" s="33">
        <f>D20+D21</f>
        <v>0</v>
      </c>
      <c r="E22" s="34"/>
      <c r="F22" s="35"/>
      <c r="G22" s="85" t="s">
        <v>53</v>
      </c>
    </row>
    <row r="23" spans="1:7" s="136" customFormat="1" ht="21" customHeight="1" x14ac:dyDescent="0.25">
      <c r="A23" s="36"/>
      <c r="B23" s="37"/>
      <c r="C23" s="37"/>
      <c r="D23" s="37"/>
      <c r="E23" s="34"/>
      <c r="F23" s="35"/>
      <c r="G23" s="31"/>
    </row>
    <row r="24" spans="1:7" s="137" customFormat="1" ht="21" customHeight="1" x14ac:dyDescent="0.3">
      <c r="A24" s="172" t="s">
        <v>83</v>
      </c>
      <c r="B24" s="172"/>
      <c r="C24" s="172"/>
      <c r="D24" s="172"/>
      <c r="E24" s="172"/>
      <c r="F24" s="38"/>
      <c r="G24" s="16" t="s">
        <v>58</v>
      </c>
    </row>
    <row r="25" spans="1:7" s="136" customFormat="1" ht="21" customHeight="1" x14ac:dyDescent="0.25">
      <c r="A25" s="41" t="s">
        <v>42</v>
      </c>
      <c r="B25" s="170">
        <v>0</v>
      </c>
      <c r="C25" s="40"/>
      <c r="E25" s="43" t="s">
        <v>59</v>
      </c>
      <c r="F25" s="40"/>
      <c r="G25" s="31"/>
    </row>
    <row r="26" spans="1:7" s="136" customFormat="1" ht="21" customHeight="1" x14ac:dyDescent="0.25">
      <c r="A26" s="41" t="s">
        <v>41</v>
      </c>
      <c r="B26" s="156">
        <v>0</v>
      </c>
      <c r="D26" s="40"/>
      <c r="E26" s="90">
        <f>B26-(SUM(B36:B38))</f>
        <v>0</v>
      </c>
      <c r="F26" s="40"/>
      <c r="G26" s="174" t="s">
        <v>75</v>
      </c>
    </row>
    <row r="27" spans="1:7" s="136" customFormat="1" ht="21" customHeight="1" x14ac:dyDescent="0.25">
      <c r="A27" s="41" t="s">
        <v>43</v>
      </c>
      <c r="B27" s="156">
        <v>0</v>
      </c>
      <c r="C27" s="40"/>
      <c r="D27" s="40"/>
      <c r="E27" s="40"/>
      <c r="F27" s="42"/>
      <c r="G27" s="175"/>
    </row>
    <row r="28" spans="1:7" s="136" customFormat="1" ht="21" customHeight="1" x14ac:dyDescent="0.25">
      <c r="A28" s="39" t="s">
        <v>60</v>
      </c>
      <c r="B28" s="156">
        <f>B26+B27</f>
        <v>0</v>
      </c>
      <c r="C28" s="91"/>
      <c r="D28" s="40"/>
      <c r="E28" s="40"/>
      <c r="F28" s="92"/>
      <c r="G28" s="175"/>
    </row>
    <row r="29" spans="1:7" s="136" customFormat="1" ht="21" customHeight="1" x14ac:dyDescent="0.25">
      <c r="A29" s="181" t="s">
        <v>16</v>
      </c>
      <c r="B29" s="181"/>
      <c r="C29" s="181"/>
      <c r="D29" s="181"/>
      <c r="E29" s="181"/>
      <c r="F29" s="46"/>
      <c r="G29" s="175"/>
    </row>
    <row r="30" spans="1:7" s="136" customFormat="1" ht="36" customHeight="1" x14ac:dyDescent="0.25">
      <c r="A30" s="39"/>
      <c r="B30" s="43" t="s">
        <v>17</v>
      </c>
      <c r="C30" s="44"/>
      <c r="D30" s="45"/>
      <c r="E30" s="43" t="s">
        <v>62</v>
      </c>
      <c r="F30" s="46"/>
      <c r="G30" s="175"/>
    </row>
    <row r="31" spans="1:7" s="136" customFormat="1" ht="21" customHeight="1" x14ac:dyDescent="0.25">
      <c r="A31" s="39" t="s">
        <v>18</v>
      </c>
      <c r="B31" s="157">
        <v>0</v>
      </c>
      <c r="C31" s="93"/>
      <c r="D31" s="93"/>
      <c r="E31" s="47">
        <f>ProjHours-SUM(B31:B33)</f>
        <v>0</v>
      </c>
      <c r="F31" s="46"/>
      <c r="G31" s="175"/>
    </row>
    <row r="32" spans="1:7" s="137" customFormat="1" ht="21" customHeight="1" x14ac:dyDescent="0.2">
      <c r="A32" s="48" t="s">
        <v>19</v>
      </c>
      <c r="B32" s="158">
        <v>0</v>
      </c>
      <c r="C32" s="93"/>
      <c r="D32" s="46"/>
      <c r="E32" s="46"/>
      <c r="F32" s="50"/>
      <c r="G32" s="176"/>
    </row>
    <row r="33" spans="1:7" s="137" customFormat="1" ht="21" customHeight="1" x14ac:dyDescent="0.2">
      <c r="A33" s="49" t="s">
        <v>20</v>
      </c>
      <c r="B33" s="159">
        <v>0</v>
      </c>
      <c r="C33" s="93"/>
      <c r="D33" s="94"/>
      <c r="E33" s="46"/>
      <c r="F33" s="53"/>
      <c r="G33" s="176"/>
    </row>
    <row r="34" spans="1:7" s="137" customFormat="1" ht="21" customHeight="1" x14ac:dyDescent="0.2">
      <c r="A34" s="182" t="s">
        <v>63</v>
      </c>
      <c r="B34" s="182"/>
      <c r="C34" s="182"/>
      <c r="D34" s="182"/>
      <c r="E34" s="182"/>
      <c r="F34" s="55"/>
      <c r="G34" s="176"/>
    </row>
    <row r="35" spans="1:7" s="136" customFormat="1" ht="26.25" customHeight="1" thickBot="1" x14ac:dyDescent="0.3">
      <c r="A35" s="51"/>
      <c r="B35" s="52" t="s">
        <v>21</v>
      </c>
      <c r="C35" s="52" t="s">
        <v>64</v>
      </c>
      <c r="D35" s="52" t="s">
        <v>22</v>
      </c>
      <c r="E35" s="52" t="s">
        <v>23</v>
      </c>
      <c r="F35" s="34"/>
      <c r="G35" s="175"/>
    </row>
    <row r="36" spans="1:7" s="137" customFormat="1" ht="21.75" customHeight="1" thickBot="1" x14ac:dyDescent="0.25">
      <c r="A36" s="54" t="s">
        <v>65</v>
      </c>
      <c r="B36" s="95">
        <f>(+B32*C22)+(B33*((TB_Shop+(TB_Shop*C14))+UF_Shop))</f>
        <v>0</v>
      </c>
      <c r="C36" s="95">
        <f>((B32*C20)+B32*(C20*B5))+((B33*D20)+B33*(D20*B5))</f>
        <v>0</v>
      </c>
      <c r="D36" s="95">
        <f>C36-B36</f>
        <v>0</v>
      </c>
      <c r="E36" s="146" t="e">
        <f>D36/ProjFinalCost</f>
        <v>#DIV/0!</v>
      </c>
      <c r="F36" s="96"/>
      <c r="G36" s="176"/>
    </row>
    <row r="37" spans="1:7" s="137" customFormat="1" ht="21.75" customHeight="1" thickBot="1" x14ac:dyDescent="0.25">
      <c r="A37" s="54" t="s">
        <v>66</v>
      </c>
      <c r="B37" s="95">
        <f>B31*B22</f>
        <v>0</v>
      </c>
      <c r="C37" s="95">
        <f>(+TB_Staff+(TB_Staff*ActualStaffBurden))*B31</f>
        <v>0</v>
      </c>
      <c r="D37" s="95">
        <f>C37-B37</f>
        <v>0</v>
      </c>
      <c r="E37" s="146" t="e">
        <f>D37/ProjFinalCost</f>
        <v>#DIV/0!</v>
      </c>
      <c r="F37" s="55"/>
      <c r="G37" s="176"/>
    </row>
    <row r="38" spans="1:7" s="137" customFormat="1" ht="21.75" customHeight="1" thickBot="1" x14ac:dyDescent="0.25">
      <c r="A38" s="54" t="s">
        <v>44</v>
      </c>
      <c r="B38" s="95">
        <f>B33*D18*D14</f>
        <v>0</v>
      </c>
      <c r="C38" s="95">
        <f>B33*D20*ContractShopBurden</f>
        <v>0</v>
      </c>
      <c r="D38" s="95">
        <f>C38 - B38</f>
        <v>0</v>
      </c>
      <c r="E38" s="146" t="e">
        <f>D38/ProjFinalCost</f>
        <v>#DIV/0!</v>
      </c>
      <c r="F38" s="55"/>
      <c r="G38" s="176"/>
    </row>
    <row r="39" spans="1:7" s="137" customFormat="1" ht="21.75" customHeight="1" x14ac:dyDescent="0.2">
      <c r="A39" s="97" t="s">
        <v>26</v>
      </c>
      <c r="B39" s="98"/>
      <c r="C39" s="98"/>
      <c r="D39" s="160">
        <v>0</v>
      </c>
      <c r="E39" s="147" t="e">
        <f xml:space="preserve"> D39/ProjFinalCost</f>
        <v>#DIV/0!</v>
      </c>
      <c r="F39" s="55"/>
      <c r="G39" s="176"/>
    </row>
    <row r="40" spans="1:7" s="137" customFormat="1" ht="21.75" customHeight="1" x14ac:dyDescent="0.2">
      <c r="A40" s="182" t="s">
        <v>24</v>
      </c>
      <c r="B40" s="182"/>
      <c r="C40" s="182"/>
      <c r="D40" s="182"/>
      <c r="E40" s="183"/>
      <c r="F40" s="55"/>
      <c r="G40" s="176"/>
    </row>
    <row r="41" spans="1:7" s="137" customFormat="1" ht="21.75" customHeight="1" thickBot="1" x14ac:dyDescent="0.25">
      <c r="A41" s="100" t="s">
        <v>25</v>
      </c>
      <c r="B41" s="161">
        <v>0</v>
      </c>
      <c r="C41" s="162">
        <v>0</v>
      </c>
      <c r="D41" s="103">
        <f>C41-B41</f>
        <v>0</v>
      </c>
      <c r="E41" s="142" t="e">
        <f>D41/ProjFinalCost</f>
        <v>#DIV/0!</v>
      </c>
      <c r="F41" s="55"/>
      <c r="G41" s="176"/>
    </row>
    <row r="42" spans="1:7" s="137" customFormat="1" ht="21.75" customHeight="1" thickBot="1" x14ac:dyDescent="0.25">
      <c r="A42" s="56" t="s">
        <v>2</v>
      </c>
      <c r="B42" s="161">
        <v>0</v>
      </c>
      <c r="C42" s="104">
        <f>SUM(C36:C38)*SmallTools</f>
        <v>0</v>
      </c>
      <c r="D42" s="103">
        <f>C42-B42</f>
        <v>0</v>
      </c>
      <c r="E42" s="143" t="e">
        <f>D42/ProjFinalCost</f>
        <v>#DIV/0!</v>
      </c>
      <c r="F42" s="55"/>
      <c r="G42" s="176"/>
    </row>
    <row r="43" spans="1:7" s="138" customFormat="1" ht="21.75" customHeight="1" thickBot="1" x14ac:dyDescent="0.25">
      <c r="A43" s="56" t="s">
        <v>67</v>
      </c>
      <c r="B43" s="106"/>
      <c r="C43" s="163">
        <v>0</v>
      </c>
      <c r="D43" s="108">
        <f>C43-B43</f>
        <v>0</v>
      </c>
      <c r="E43" s="142" t="e">
        <f>D43/ProjFinalCost</f>
        <v>#DIV/0!</v>
      </c>
      <c r="F43" s="109"/>
      <c r="G43" s="177"/>
    </row>
    <row r="44" spans="1:7" s="137" customFormat="1" ht="25.5" customHeight="1" thickBot="1" x14ac:dyDescent="0.25">
      <c r="A44" s="57" t="s">
        <v>27</v>
      </c>
      <c r="B44" s="110"/>
      <c r="C44" s="110"/>
      <c r="D44" s="164">
        <v>0</v>
      </c>
      <c r="E44" s="142" t="e">
        <f>D44/ProjFinalCost</f>
        <v>#DIV/0!</v>
      </c>
      <c r="F44" s="55"/>
      <c r="G44" s="176"/>
    </row>
    <row r="45" spans="1:7" s="137" customFormat="1" ht="21.75" customHeight="1" thickBot="1" x14ac:dyDescent="0.25">
      <c r="A45" s="58" t="s">
        <v>28</v>
      </c>
      <c r="B45" s="112">
        <v>0</v>
      </c>
      <c r="C45" s="113">
        <f>GLI</f>
        <v>0</v>
      </c>
      <c r="D45" s="114"/>
      <c r="E45" s="144">
        <f>C45-B45</f>
        <v>0</v>
      </c>
      <c r="F45" s="55"/>
      <c r="G45" s="115"/>
    </row>
    <row r="46" spans="1:7" s="137" customFormat="1" ht="21.75" customHeight="1" thickBot="1" x14ac:dyDescent="0.25">
      <c r="A46" s="56" t="s">
        <v>0</v>
      </c>
      <c r="B46" s="112">
        <v>0</v>
      </c>
      <c r="C46" s="112">
        <f>+BandO</f>
        <v>0</v>
      </c>
      <c r="D46" s="114"/>
      <c r="E46" s="144">
        <f>+C46-B46</f>
        <v>0</v>
      </c>
      <c r="F46" s="55"/>
      <c r="G46" s="115"/>
    </row>
    <row r="47" spans="1:7" s="137" customFormat="1" ht="21.75" customHeight="1" thickBot="1" x14ac:dyDescent="0.25">
      <c r="A47" s="56" t="s">
        <v>4</v>
      </c>
      <c r="B47" s="165">
        <v>0</v>
      </c>
      <c r="C47" s="117">
        <f>SUM(C36:C38) * E7</f>
        <v>0</v>
      </c>
      <c r="D47" s="114">
        <f>C47-B47</f>
        <v>0</v>
      </c>
      <c r="E47" s="144" t="e">
        <f>D47/ProjFinalCost</f>
        <v>#DIV/0!</v>
      </c>
      <c r="F47" s="55"/>
      <c r="G47" s="115"/>
    </row>
    <row r="48" spans="1:7" s="137" customFormat="1" ht="21.75" customHeight="1" thickBot="1" x14ac:dyDescent="0.25">
      <c r="A48" s="56" t="s">
        <v>5</v>
      </c>
      <c r="B48" s="166">
        <v>0</v>
      </c>
      <c r="C48" s="119">
        <f>B59*Bond</f>
        <v>0</v>
      </c>
      <c r="D48" s="120">
        <f>C48-B48</f>
        <v>0</v>
      </c>
      <c r="E48" s="145" t="e">
        <f xml:space="preserve"> D48/ProjFinalCost</f>
        <v>#DIV/0!</v>
      </c>
      <c r="F48" s="55"/>
      <c r="G48" s="115"/>
    </row>
    <row r="49" spans="1:7" s="136" customFormat="1" ht="21.75" customHeight="1" x14ac:dyDescent="0.25">
      <c r="A49" s="56" t="s">
        <v>29</v>
      </c>
      <c r="B49" s="166">
        <v>0</v>
      </c>
      <c r="C49" s="166">
        <v>0</v>
      </c>
      <c r="D49" s="120">
        <f>C49-B49</f>
        <v>0</v>
      </c>
      <c r="E49" s="145" t="e">
        <f xml:space="preserve"> D49/ProjFinalCost</f>
        <v>#DIV/0!</v>
      </c>
      <c r="F49" s="34"/>
      <c r="G49" s="115"/>
    </row>
    <row r="50" spans="1:7" s="136" customFormat="1" ht="21.75" customHeight="1" x14ac:dyDescent="0.25">
      <c r="A50" s="182" t="s">
        <v>30</v>
      </c>
      <c r="B50" s="182"/>
      <c r="C50" s="182"/>
      <c r="D50" s="182"/>
      <c r="E50" s="182"/>
      <c r="F50" s="34"/>
      <c r="G50" s="133"/>
    </row>
    <row r="51" spans="1:7" s="136" customFormat="1" ht="22.5" customHeight="1" x14ac:dyDescent="0.25">
      <c r="A51" s="140"/>
      <c r="B51" s="60"/>
      <c r="C51" s="121">
        <f>B27+C36+C37+C38+D39+D41+D42+D43+D44+D47+D48+D49</f>
        <v>0</v>
      </c>
      <c r="D51" s="188" t="s">
        <v>31</v>
      </c>
      <c r="E51" s="188"/>
      <c r="F51" s="34"/>
      <c r="G51" s="122" t="s">
        <v>68</v>
      </c>
    </row>
    <row r="52" spans="1:7" s="136" customFormat="1" ht="22.5" customHeight="1" x14ac:dyDescent="0.25">
      <c r="A52" s="61"/>
      <c r="B52" s="60"/>
      <c r="C52" s="123">
        <f>C51*GLI</f>
        <v>0</v>
      </c>
      <c r="D52" s="186" t="s">
        <v>32</v>
      </c>
      <c r="E52" s="186"/>
      <c r="F52" s="62"/>
      <c r="G52" s="189" t="s">
        <v>76</v>
      </c>
    </row>
    <row r="53" spans="1:7" s="136" customFormat="1" ht="22.5" customHeight="1" x14ac:dyDescent="0.25">
      <c r="A53" s="61"/>
      <c r="B53" s="60"/>
      <c r="C53" s="123">
        <f>SUM(C51:C52)</f>
        <v>0</v>
      </c>
      <c r="D53" s="186" t="s">
        <v>33</v>
      </c>
      <c r="E53" s="186"/>
      <c r="F53" s="62"/>
      <c r="G53" s="175"/>
    </row>
    <row r="54" spans="1:7" s="136" customFormat="1" ht="22.5" customHeight="1" x14ac:dyDescent="0.25">
      <c r="B54" s="63"/>
      <c r="C54" s="124">
        <f>BaseFee</f>
        <v>0</v>
      </c>
      <c r="D54" s="186" t="s">
        <v>34</v>
      </c>
      <c r="E54" s="186"/>
      <c r="F54" s="62"/>
      <c r="G54" s="175"/>
    </row>
    <row r="55" spans="1:7" ht="22.5" customHeight="1" x14ac:dyDescent="0.25">
      <c r="A55" s="61"/>
      <c r="B55" s="60"/>
      <c r="C55" s="123">
        <f>C53*C54</f>
        <v>0</v>
      </c>
      <c r="D55" s="186" t="s">
        <v>35</v>
      </c>
      <c r="E55" s="186"/>
      <c r="G55" s="189"/>
    </row>
    <row r="56" spans="1:7" ht="22.5" customHeight="1" x14ac:dyDescent="0.25">
      <c r="A56" s="61"/>
      <c r="B56" s="136"/>
      <c r="C56" s="123">
        <f>C53+C55</f>
        <v>0</v>
      </c>
      <c r="D56" s="186" t="s">
        <v>36</v>
      </c>
      <c r="E56" s="186"/>
      <c r="G56" s="125"/>
    </row>
    <row r="57" spans="1:7" ht="22.5" customHeight="1" x14ac:dyDescent="0.25">
      <c r="C57" s="123">
        <f>BandO*C56</f>
        <v>0</v>
      </c>
      <c r="D57" s="186" t="s">
        <v>0</v>
      </c>
      <c r="E57" s="186"/>
      <c r="G57" s="122" t="s">
        <v>77</v>
      </c>
    </row>
    <row r="58" spans="1:7" ht="22.5" customHeight="1" x14ac:dyDescent="0.25">
      <c r="C58" s="123">
        <f>SUM(C56:C57)</f>
        <v>0</v>
      </c>
      <c r="D58" s="186" t="s">
        <v>79</v>
      </c>
      <c r="E58" s="186"/>
      <c r="G58" s="134" t="s">
        <v>78</v>
      </c>
    </row>
    <row r="59" spans="1:7" ht="22.5" customHeight="1" x14ac:dyDescent="0.25">
      <c r="A59" s="126" t="s">
        <v>38</v>
      </c>
      <c r="B59" s="167">
        <v>0</v>
      </c>
      <c r="D59" s="127"/>
      <c r="G59" s="135"/>
    </row>
    <row r="60" spans="1:7" ht="22.5" customHeight="1" x14ac:dyDescent="0.25">
      <c r="A60" s="61" t="s">
        <v>39</v>
      </c>
      <c r="B60" s="128" t="e">
        <f>IF(B9=1, (MIN(B59,C58)-ProjFinalCost)/ProjFinalCost, (JECTED_FINAL_CONTRACT_PRG - ProjFinalCost)/ProjFinalCost )</f>
        <v>#DIV/0!</v>
      </c>
      <c r="G60" s="135"/>
    </row>
    <row r="61" spans="1:7" ht="22.5" customHeight="1" x14ac:dyDescent="0.25">
      <c r="A61" s="61" t="s">
        <v>48</v>
      </c>
      <c r="B61" s="124" t="e">
        <f>B60/(1+B60)</f>
        <v>#DIV/0!</v>
      </c>
      <c r="G61" s="135"/>
    </row>
  </sheetData>
  <sheetProtection formatCells="0" formatColumns="0" formatRows="0"/>
  <dataConsolidate/>
  <mergeCells count="22">
    <mergeCell ref="B16:D16"/>
    <mergeCell ref="A3:E3"/>
    <mergeCell ref="G4:G15"/>
    <mergeCell ref="B10:E10"/>
    <mergeCell ref="A11:E11"/>
    <mergeCell ref="B12:D12"/>
    <mergeCell ref="G52:G55"/>
    <mergeCell ref="D53:E53"/>
    <mergeCell ref="D54:E54"/>
    <mergeCell ref="D55:E55"/>
    <mergeCell ref="G18:G21"/>
    <mergeCell ref="A24:E24"/>
    <mergeCell ref="G26:G44"/>
    <mergeCell ref="A29:E29"/>
    <mergeCell ref="A34:E34"/>
    <mergeCell ref="A40:E40"/>
    <mergeCell ref="D56:E56"/>
    <mergeCell ref="D57:E57"/>
    <mergeCell ref="D58:E58"/>
    <mergeCell ref="A50:E50"/>
    <mergeCell ref="D51:E51"/>
    <mergeCell ref="D52:E52"/>
  </mergeCells>
  <conditionalFormatting sqref="C58">
    <cfRule type="expression" dxfId="1" priority="1">
      <formula>$C$58&lt;$B$59</formula>
    </cfRule>
    <cfRule type="expression" dxfId="0" priority="2">
      <formula>$C$58&gt;$B$59</formula>
    </cfRule>
  </conditionalFormatting>
  <hyperlinks>
    <hyperlink ref="G22" r:id="rId1" display="http://bn.mckinstry.com/DC/Project Support/Field Labor and Staff Rates.xlsx"/>
    <hyperlink ref="G58" r:id="rId2" display="mailto:substantiations@mckinstry.com?subject=Gross%20Margin%20Analysis%20Workbook%20Question"/>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097" r:id="rId6" name="gmaxYes">
              <controlPr defaultSize="0" autoFill="0" autoLine="0" autoPict="0">
                <anchor moveWithCells="1">
                  <from>
                    <xdr:col>1</xdr:col>
                    <xdr:colOff>104775</xdr:colOff>
                    <xdr:row>8</xdr:row>
                    <xdr:rowOff>57150</xdr:rowOff>
                  </from>
                  <to>
                    <xdr:col>1</xdr:col>
                    <xdr:colOff>485775</xdr:colOff>
                    <xdr:row>9</xdr:row>
                    <xdr:rowOff>28575</xdr:rowOff>
                  </to>
                </anchor>
              </controlPr>
            </control>
          </mc:Choice>
        </mc:AlternateContent>
        <mc:AlternateContent xmlns:mc="http://schemas.openxmlformats.org/markup-compatibility/2006">
          <mc:Choice Requires="x14">
            <control shapeId="4098" r:id="rId7" name="gmaxNo">
              <controlPr defaultSize="0" autoFill="0" autoLine="0" autoPict="0">
                <anchor moveWithCells="1">
                  <from>
                    <xdr:col>1</xdr:col>
                    <xdr:colOff>590550</xdr:colOff>
                    <xdr:row>8</xdr:row>
                    <xdr:rowOff>66675</xdr:rowOff>
                  </from>
                  <to>
                    <xdr:col>1</xdr:col>
                    <xdr:colOff>1057275</xdr:colOff>
                    <xdr:row>9</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64</vt:i4>
      </vt:variant>
    </vt:vector>
  </HeadingPairs>
  <TitlesOfParts>
    <vt:vector size="67" baseType="lpstr">
      <vt:lpstr>Summary</vt:lpstr>
      <vt:lpstr>MCK Gross Margin</vt:lpstr>
      <vt:lpstr>BLANK-GMA-</vt:lpstr>
      <vt:lpstr>'BLANK-GMA-'!ActualStaffBurden</vt:lpstr>
      <vt:lpstr>'MCK Gross Margin'!ActualStaffBurden</vt:lpstr>
      <vt:lpstr>'BLANK-GMA-'!assumptions</vt:lpstr>
      <vt:lpstr>'MCK Gross Margin'!assumptions</vt:lpstr>
      <vt:lpstr>'BLANK-GMA-'!BandO</vt:lpstr>
      <vt:lpstr>'MCK Gross Margin'!BandO</vt:lpstr>
      <vt:lpstr>'BLANK-GMA-'!BaseFee</vt:lpstr>
      <vt:lpstr>'MCK Gross Margin'!BaseFee</vt:lpstr>
      <vt:lpstr>'BLANK-GMA-'!Bond</vt:lpstr>
      <vt:lpstr>'MCK Gross Margin'!Bond</vt:lpstr>
      <vt:lpstr>'BLANK-GMA-'!BondAmt</vt:lpstr>
      <vt:lpstr>'MCK Gross Margin'!BondAmt</vt:lpstr>
      <vt:lpstr>'BLANK-GMA-'!ContractActualFieldBurden</vt:lpstr>
      <vt:lpstr>'MCK Gross Margin'!ContractActualFieldBurden</vt:lpstr>
      <vt:lpstr>'BLANK-GMA-'!ContractShopBurden</vt:lpstr>
      <vt:lpstr>'MCK Gross Margin'!ContractShopBurden</vt:lpstr>
      <vt:lpstr>'BLANK-GMA-'!EquipCost</vt:lpstr>
      <vt:lpstr>'MCK Gross Margin'!EquipCost</vt:lpstr>
      <vt:lpstr>'BLANK-GMA-'!Field_HRS</vt:lpstr>
      <vt:lpstr>'MCK Gross Margin'!Field_HRS</vt:lpstr>
      <vt:lpstr>'BLANK-GMA-'!Field_HRS_1</vt:lpstr>
      <vt:lpstr>'MCK Gross Margin'!Field_HRS_1</vt:lpstr>
      <vt:lpstr>'BLANK-GMA-'!GLI</vt:lpstr>
      <vt:lpstr>'MCK Gross Margin'!GLI</vt:lpstr>
      <vt:lpstr>'BLANK-GMA-'!JECTED_FINAL_CONTRACT_PRG</vt:lpstr>
      <vt:lpstr>'MCK Gross Margin'!JECTED_FINAL_CONTRACT_PRG</vt:lpstr>
      <vt:lpstr>'BLANK-GMA-'!ProjFinalCost</vt:lpstr>
      <vt:lpstr>'MCK Gross Margin'!ProjFinalCost</vt:lpstr>
      <vt:lpstr>'BLANK-GMA-'!ProjHours</vt:lpstr>
      <vt:lpstr>'MCK Gross Margin'!ProjHours</vt:lpstr>
      <vt:lpstr>'BLANK-GMA-'!ProjLabrCost</vt:lpstr>
      <vt:lpstr>'MCK Gross Margin'!ProjLabrCost</vt:lpstr>
      <vt:lpstr>'BLANK-GMA-'!ProjNonLCost</vt:lpstr>
      <vt:lpstr>'MCK Gross Margin'!ProjNonLCost</vt:lpstr>
      <vt:lpstr>'BLANK-GMA-'!Shop_HRS</vt:lpstr>
      <vt:lpstr>'MCK Gross Margin'!Shop_HRS</vt:lpstr>
      <vt:lpstr>'BLANK-GMA-'!Shop_HRS_1</vt:lpstr>
      <vt:lpstr>'MCK Gross Margin'!Shop_HRS_1</vt:lpstr>
      <vt:lpstr>'BLANK-GMA-'!Shop_Labor_Rate</vt:lpstr>
      <vt:lpstr>'MCK Gross Margin'!Shop_Labor_Rate</vt:lpstr>
      <vt:lpstr>'BLANK-GMA-'!SmallTools</vt:lpstr>
      <vt:lpstr>'MCK Gross Margin'!SmallTools</vt:lpstr>
      <vt:lpstr>'BLANK-GMA-'!SmallTools_CST</vt:lpstr>
      <vt:lpstr>'MCK Gross Margin'!SmallTools_CST</vt:lpstr>
      <vt:lpstr>'BLANK-GMA-'!Staff_HRS</vt:lpstr>
      <vt:lpstr>'MCK Gross Margin'!Staff_HRS</vt:lpstr>
      <vt:lpstr>'BLANK-GMA-'!Staff_HRS_1</vt:lpstr>
      <vt:lpstr>'MCK Gross Margin'!Staff_HRS_1</vt:lpstr>
      <vt:lpstr>'BLANK-GMA-'!Staff_Labor_Rate</vt:lpstr>
      <vt:lpstr>'MCK Gross Margin'!Staff_Labor_Rate</vt:lpstr>
      <vt:lpstr>'BLANK-GMA-'!TB_Field</vt:lpstr>
      <vt:lpstr>'MCK Gross Margin'!TB_Field</vt:lpstr>
      <vt:lpstr>'BLANK-GMA-'!TB_Shop</vt:lpstr>
      <vt:lpstr>'MCK Gross Margin'!TB_Shop</vt:lpstr>
      <vt:lpstr>'BLANK-GMA-'!TB_Staff</vt:lpstr>
      <vt:lpstr>'MCK Gross Margin'!TB_Staff</vt:lpstr>
      <vt:lpstr>'BLANK-GMA-'!UF_Field</vt:lpstr>
      <vt:lpstr>'MCK Gross Margin'!UF_Field</vt:lpstr>
      <vt:lpstr>'BLANK-GMA-'!UF_Shop</vt:lpstr>
      <vt:lpstr>'MCK Gross Margin'!UF_Shop</vt:lpstr>
      <vt:lpstr>'BLANK-GMA-'!Union_Labor_Rate</vt:lpstr>
      <vt:lpstr>'MCK Gross Margin'!Union_Labor_Rate</vt:lpstr>
      <vt:lpstr>'BLANK-GMA-'!Warranty</vt:lpstr>
      <vt:lpstr>'MCK Gross Margin'!Warranty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 Gurdian</dc:creator>
  <cp:lastModifiedBy>Leo Gurdian</cp:lastModifiedBy>
  <dcterms:created xsi:type="dcterms:W3CDTF">2017-01-04T22:58:45Z</dcterms:created>
  <dcterms:modified xsi:type="dcterms:W3CDTF">2017-10-02T05:51:03Z</dcterms:modified>
</cp:coreProperties>
</file>