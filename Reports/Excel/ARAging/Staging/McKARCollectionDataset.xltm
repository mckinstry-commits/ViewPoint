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pivotTables/pivotTable2.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pivotTables/pivotTable3.xml" ContentType="application/vnd.openxmlformats-officedocument.spreadsheetml.pivot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billo.MCKINSTRY\Source\Workspaces\ViewPoint\Reports\Excel\ARAging\Staging\"/>
    </mc:Choice>
  </mc:AlternateContent>
  <bookViews>
    <workbookView xWindow="0" yWindow="0" windowWidth="28800" windowHeight="12840" tabRatio="517"/>
  </bookViews>
  <sheets>
    <sheet name="Overview" sheetId="4" r:id="rId1"/>
    <sheet name="AR Collections" sheetId="5" r:id="rId2"/>
    <sheet name="Top20Customer" sheetId="6" r:id="rId3"/>
    <sheet name="Top20Dept" sheetId="8" r:id="rId4"/>
    <sheet name="Top20POC" sheetId="7" r:id="rId5"/>
  </sheets>
  <definedNames>
    <definedName name="ARAgingSummary" localSheetId="1" hidden="1">'AR Collections'!#REF!</definedName>
    <definedName name="ARCollectionsSummary" localSheetId="1" hidden="1">'AR Collections'!#REF!</definedName>
    <definedName name="ExternalData_1" localSheetId="1" hidden="1">'AR Collections'!#REF!</definedName>
    <definedName name="ExternalData_2" localSheetId="1" hidden="1">'AR Collections'!$A$9:$Y$10</definedName>
    <definedName name="monthToProcess" localSheetId="1">Overview!#REF!</definedName>
    <definedName name="monthToProcess" localSheetId="3">Overview!#REF!</definedName>
    <definedName name="monthToProcess" localSheetId="4">Overview!#REF!</definedName>
    <definedName name="monthToProcess">Overview!#REF!</definedName>
    <definedName name="old_ARCollectionsSummary">#REF!</definedName>
    <definedName name="paramCompany">Overview!$E$7</definedName>
    <definedName name="paramContract">Overview!$E$9</definedName>
    <definedName name="paramCustomer">Overview!$E$8</definedName>
    <definedName name="paramDepartment">Overview!$E$11</definedName>
    <definedName name="paramInvoice">Overview!$E$10</definedName>
    <definedName name="paramShapshotMonth">Overview!$E$6</definedName>
    <definedName name="tblARCollectionsSummary">Table_ExternalData_2[]</definedName>
  </definedNames>
  <calcPr calcId="162913"/>
  <pivotCaches>
    <pivotCache cacheId="6" r:id="rId6"/>
  </pivotCaches>
</workbook>
</file>

<file path=xl/calcChain.xml><?xml version="1.0" encoding="utf-8"?>
<calcChain xmlns="http://schemas.openxmlformats.org/spreadsheetml/2006/main">
  <c r="M11" i="5" l="1"/>
  <c r="O11" i="5"/>
  <c r="P11" i="5"/>
  <c r="Q11" i="5"/>
  <c r="R11" i="5"/>
  <c r="S11" i="5"/>
  <c r="T11" i="5"/>
  <c r="U11" i="5"/>
  <c r="V11" i="5"/>
  <c r="E6" i="4"/>
  <c r="J7" i="4" l="1"/>
  <c r="J6" i="5"/>
  <c r="J12" i="4"/>
  <c r="J3" i="5"/>
  <c r="J4" i="5"/>
  <c r="G2" i="7"/>
  <c r="G2" i="8"/>
  <c r="G2" i="6"/>
  <c r="E14" i="4"/>
  <c r="H2" i="5"/>
  <c r="J7" i="5"/>
  <c r="I7" i="5"/>
  <c r="I6" i="5"/>
  <c r="J5" i="5"/>
  <c r="I5" i="5"/>
  <c r="I4" i="5"/>
  <c r="I3" i="5"/>
  <c r="J2" i="5"/>
  <c r="I2" i="5"/>
  <c r="J9" i="4"/>
  <c r="J6" i="4"/>
  <c r="I13" i="4"/>
  <c r="I12" i="4"/>
  <c r="I10" i="4"/>
  <c r="I9" i="4"/>
  <c r="I8" i="4"/>
  <c r="I7" i="4"/>
  <c r="I6" i="4"/>
  <c r="J10" i="4" l="1"/>
  <c r="J8" i="4"/>
  <c r="K3" i="5"/>
  <c r="K5" i="5"/>
  <c r="K7" i="5"/>
  <c r="K6" i="5"/>
  <c r="K2" i="5"/>
  <c r="K4" i="5"/>
  <c r="J13" i="4"/>
  <c r="K8" i="4" l="1"/>
  <c r="K7" i="4"/>
  <c r="K10" i="4"/>
  <c r="K6" i="4"/>
  <c r="K9" i="4"/>
  <c r="G4" i="8" l="1"/>
  <c r="F4" i="8"/>
  <c r="E4" i="8"/>
  <c r="D4" i="8"/>
  <c r="C4" i="8"/>
  <c r="B1" i="8"/>
  <c r="G4" i="7"/>
  <c r="F4" i="7"/>
  <c r="E4" i="7"/>
  <c r="D4" i="7"/>
  <c r="C4" i="7"/>
  <c r="B1" i="7"/>
  <c r="B1" i="6"/>
  <c r="G4" i="6"/>
  <c r="F4" i="6"/>
  <c r="E4" i="6"/>
  <c r="D4" i="6"/>
  <c r="C4" i="6"/>
  <c r="H4" i="5"/>
  <c r="G4" i="5"/>
  <c r="F4" i="5"/>
  <c r="E4" i="5"/>
  <c r="D4" i="5"/>
  <c r="C1" i="5"/>
  <c r="B4" i="7" l="1"/>
  <c r="B4" i="8"/>
  <c r="C4" i="5"/>
  <c r="B4" i="6"/>
  <c r="K13" i="4"/>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(Required) Enter the Month for the data you would like presented in this workbook.  Use the first of the month as the date (e.g. mm/1/yyyy)
</t>
        </r>
      </text>
    </comment>
    <comment ref="D7" authorId="0" shapeId="0">
      <text>
        <r>
          <rPr>
            <sz val="9"/>
            <color indexed="81"/>
            <rFont val="Tahoma"/>
            <family val="2"/>
          </rPr>
          <t xml:space="preserve">Enter all or part of the Company number or Name.  Refresh will return any record with the entered value found in the system (e.g. 123 would return 9123, 1234, etc.).
</t>
        </r>
      </text>
    </comment>
    <comment ref="D8" authorId="0" shapeId="0">
      <text>
        <r>
          <rPr>
            <sz val="9"/>
            <color indexed="81"/>
            <rFont val="Tahoma"/>
            <family val="2"/>
          </rPr>
          <t xml:space="preserve">Enter all or part of the Customer number or Name.  Refresh will return any record with the entered value found in the system (e.g. 123 would return 9123, 1234, etc.).
</t>
        </r>
      </text>
    </comment>
    <comment ref="D9" authorId="0" shapeId="0">
      <text>
        <r>
          <rPr>
            <sz val="9"/>
            <color indexed="81"/>
            <rFont val="Tahoma"/>
            <family val="2"/>
          </rPr>
          <t xml:space="preserve">Enter all or part of the Contract number or Name.  Refresh will return any record with the entered value found in the system (e.g. 123 would return 9123, 1234, etc.).
</t>
        </r>
      </text>
    </comment>
    <comment ref="D10" authorId="0" shapeId="0">
      <text>
        <r>
          <rPr>
            <sz val="9"/>
            <color indexed="81"/>
            <rFont val="Tahoma"/>
            <family val="2"/>
          </rPr>
          <t xml:space="preserve">Enter all or part of the Invoice number or description.  Refresh will return any record with the entered value found in the system (e.g. 123 would return 9123, 1234, etc.).
</t>
        </r>
      </text>
    </comment>
    <comment ref="D11" authorId="0" shapeId="0">
      <text>
        <r>
          <rPr>
            <sz val="9"/>
            <color indexed="81"/>
            <rFont val="Tahoma"/>
            <family val="2"/>
          </rPr>
          <t xml:space="preserve">Enter all or part of the GL Department number or Name.  Refresh will return any record with the entered value found in the system (e.g. 123 would return 9123, 1234, etc.).
</t>
        </r>
      </text>
    </comment>
  </commentList>
</comments>
</file>

<file path=xl/connections.xml><?xml version="1.0" encoding="utf-8"?>
<connections xmlns="http://schemas.openxmlformats.org/spreadsheetml/2006/main">
  <connection id="1" keepAlive="1" name="AR Collections Summary" type="5" refreshedVersion="6" background="1" saveData="1">
    <dbPr connection="Provider=SQLOLEDB.1;Integrated Security=SSPI;Persist Security Info=True;Initial Catalog=Viewpoint;Data Source=VPSTAGINGAG\VIEWPOINT;Extended Properties=&quot;Application Intent=ReadOnly&quot;;Use Procedure for Prepare=1;Auto Translate=True;Packet Size=4096;Workstation ID=SEABILLOXPS;Use Encryption for Data=False;Tag with column collation when possible=False" command="select ARCo,GLDepartmentNumber as [GLDept# ],GLDepartmentName as [GLDeptName],POCName,ProjectManagers,ContractDesc,CustomerName,Customer as [Customer#],InvoiceContract as [Contract#],Invoice as [Invoice#],InvoiceTransDate as [InvoiceDate],InvoiceDueDate as [DueDate],Invoiced  as [TotalInvoiced],DaysFromAge as [DaysPastDue],[Current],Aged1to30,Aged31to60,Aged61to90,AgedOver90,(coalesce([Current],0)+coalesce(Aged1to30,0)+coalesce(Aged31to60,0)+coalesce(Aged61to90,0)+coalesce(AgedOver90,0)) as TotalAged,Retainage,Paid,case when ltrim(rtrim(CollectionNotes))='' then 'None' else CollectionNotes end as CollectionNotes,FinancialPeriod,AsOfDate from [dbo].[mfnARAgingSummary] ('1/1/2015')  where 1=0 Order by CustomerName,Invoice"/>
  </connection>
</connections>
</file>

<file path=xl/sharedStrings.xml><?xml version="1.0" encoding="utf-8"?>
<sst xmlns="http://schemas.openxmlformats.org/spreadsheetml/2006/main" count="120" uniqueCount="61">
  <si>
    <t>ARCo</t>
  </si>
  <si>
    <t>CustomerName</t>
  </si>
  <si>
    <t>Customer</t>
  </si>
  <si>
    <t>Invoice</t>
  </si>
  <si>
    <t>Retention</t>
  </si>
  <si>
    <t>Total Aged</t>
  </si>
  <si>
    <t>(All)</t>
  </si>
  <si>
    <t>POCName</t>
  </si>
  <si>
    <t>Snapshot Month</t>
  </si>
  <si>
    <t>Company</t>
  </si>
  <si>
    <t>Contract</t>
  </si>
  <si>
    <t>Department</t>
  </si>
  <si>
    <t>Month</t>
  </si>
  <si>
    <t/>
  </si>
  <si>
    <t>FinancialPeriod</t>
  </si>
  <si>
    <t>CollectionNotes</t>
  </si>
  <si>
    <t>ProjectManagers</t>
  </si>
  <si>
    <t>Current</t>
  </si>
  <si>
    <t>Aged1to30</t>
  </si>
  <si>
    <t>Aged31to60</t>
  </si>
  <si>
    <t>Aged61to90</t>
  </si>
  <si>
    <t>AgedOver90</t>
  </si>
  <si>
    <t>Retainage</t>
  </si>
  <si>
    <t>Paid</t>
  </si>
  <si>
    <t>TotalAged</t>
  </si>
  <si>
    <t>ContractDesc</t>
  </si>
  <si>
    <t>=EOMONTH(NOW(),-1)+1</t>
  </si>
  <si>
    <t>Accounts Receivable Collections Worksheet</t>
  </si>
  <si>
    <t>(blank)</t>
  </si>
  <si>
    <t>Grand Total</t>
  </si>
  <si>
    <t>Current Amount</t>
  </si>
  <si>
    <t>1-30 Amoung</t>
  </si>
  <si>
    <t>31-60 Amount</t>
  </si>
  <si>
    <t>61-90 Amount</t>
  </si>
  <si>
    <t>Over 90 Amount</t>
  </si>
  <si>
    <t>AsOfDate</t>
  </si>
  <si>
    <t>Data As Of</t>
  </si>
  <si>
    <t>InvoiceDate</t>
  </si>
  <si>
    <t>1-30 Amount</t>
  </si>
  <si>
    <t>AR Aging Bucket Definitions</t>
  </si>
  <si>
    <t>Aged 1 to 30</t>
  </si>
  <si>
    <t>Aged 31 to 60</t>
  </si>
  <si>
    <t>Aged 61 to 90</t>
  </si>
  <si>
    <t>Aged Over 90</t>
  </si>
  <si>
    <t>All "Aged Amounts" fall within the "Aging Buckets" in the report based on the Invoice Due Date.  If an Invoice Due Date does not exist, the Aging is based on the Invoice Date.    The report will calculate the number of days until the invoice is due or overdue and place the appropriate outstanding balance in the "Aging Bucket".  The report looks to Vista (Viewpoint) to calculate the due date.</t>
  </si>
  <si>
    <t>Displays invoice balances that are not yet due.  The outstanding balance (amount due) for an invoice is in the future.</t>
  </si>
  <si>
    <t xml:space="preserve">The outstanding balance (amount due) for an invoice that is 1 to 30 days past due.  </t>
  </si>
  <si>
    <t>The outstanding balance (amount due) for an invoice that is 31 to 60 days past due.</t>
  </si>
  <si>
    <t>The outstanding balance (amount due) for an invoice that is 61 to 90 days past due.</t>
  </si>
  <si>
    <t>The outstanding balance (amount due) for an invoice that is greater and 90 days past due.</t>
  </si>
  <si>
    <t>The Sum of the Aging Buckets representing the total amount due.</t>
  </si>
  <si>
    <t>Held but not released.  Upon release of retention, the retainage invoice amount will follow the aging bucket rules.</t>
  </si>
  <si>
    <t xml:space="preserve">GLDept# </t>
  </si>
  <si>
    <t>GLDeptName</t>
  </si>
  <si>
    <t>Customer#</t>
  </si>
  <si>
    <t>Contract#</t>
  </si>
  <si>
    <t>Invoice#</t>
  </si>
  <si>
    <t>DueDate</t>
  </si>
  <si>
    <t>TotalInvoiced</t>
  </si>
  <si>
    <t>DaysPastDue</t>
  </si>
  <si>
    <t>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</si>
</sst>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quot;* #,##0.00_);_(&quot;$&quot;* \(#,##0.00\);_(&quot;$&quot;* &quot;-&quot;??_);_(@_)"/>
    <numFmt numFmtId="164" formatCode="[$-409]m/d/yy\ h:mm\ AM/PM;@"/>
    <numFmt numFmtId="165" formatCode="mm/yyyy;@"/>
    <numFmt numFmtId="166" formatCode="m/d/yyyy;@"/>
  </numFmts>
  <fonts count="29"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b/>
      <sz val="11"/>
      <color theme="0" tint="-4.9989318521683403E-2"/>
      <name val="Calibri"/>
      <family val="2"/>
      <scheme val="minor"/>
    </font>
    <font>
      <i/>
      <sz val="9"/>
      <color theme="1"/>
      <name val="Calibri"/>
      <family val="2"/>
      <scheme val="minor"/>
    </font>
    <font>
      <b/>
      <i/>
      <sz val="8"/>
      <color theme="1"/>
      <name val="Calibri"/>
      <family val="2"/>
      <scheme val="minor"/>
    </font>
    <font>
      <sz val="9"/>
      <color indexed="81"/>
      <name val="Tahoma"/>
      <family val="2"/>
    </font>
    <font>
      <sz val="11"/>
      <color theme="1"/>
      <name val="Calibri"/>
      <family val="2"/>
      <scheme val="minor"/>
    </font>
    <font>
      <sz val="20"/>
      <color theme="0"/>
      <name val="Calibri"/>
      <family val="2"/>
      <scheme val="minor"/>
    </font>
    <font>
      <sz val="10"/>
      <name val="Calibri"/>
      <family val="2"/>
      <scheme val="minor"/>
    </font>
    <font>
      <i/>
      <sz val="12"/>
      <color theme="0"/>
      <name val="Calibri"/>
      <family val="2"/>
      <scheme val="minor"/>
    </font>
    <font>
      <sz val="18"/>
      <color theme="0"/>
      <name val="Calibri"/>
      <family val="2"/>
      <scheme val="minor"/>
    </font>
    <font>
      <sz val="16"/>
      <color theme="0"/>
      <name val="Calibri"/>
      <family val="2"/>
      <scheme val="minor"/>
    </font>
    <font>
      <sz val="9"/>
      <color theme="0"/>
      <name val="Calibri"/>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ACC2DF"/>
        <bgColor indexed="64"/>
      </patternFill>
    </fill>
    <fill>
      <patternFill patternType="solid">
        <fgColor rgb="FF4F6476"/>
        <bgColor indexed="64"/>
      </patternFill>
    </fill>
    <fill>
      <patternFill patternType="solid">
        <fgColor rgb="FF6B383B"/>
        <bgColor indexed="64"/>
      </patternFill>
    </fill>
    <fill>
      <patternFill patternType="solid">
        <fgColor rgb="FFCF6733"/>
        <bgColor indexed="64"/>
      </patternFill>
    </fill>
    <fill>
      <patternFill patternType="solid">
        <fgColor rgb="FF9A963C"/>
        <bgColor indexed="64"/>
      </patternFill>
    </fill>
    <fill>
      <patternFill patternType="solid">
        <fgColor rgb="FF00848E"/>
        <bgColor indexed="64"/>
      </patternFill>
    </fill>
    <fill>
      <patternFill patternType="solid">
        <fgColor rgb="FFDCDFE5"/>
        <bgColor indexed="64"/>
      </patternFill>
    </fill>
    <fill>
      <patternFill patternType="solid">
        <fgColor rgb="FFEBBF1E"/>
        <bgColor indexed="64"/>
      </patternFill>
    </fill>
    <fill>
      <patternFill patternType="solid">
        <fgColor rgb="FFFFC0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n">
        <color auto="1"/>
      </left>
      <right/>
      <top/>
      <bottom style="thin">
        <color auto="1"/>
      </bottom>
      <diagonal/>
    </border>
    <border>
      <left/>
      <right/>
      <top/>
      <bottom style="thin">
        <color auto="1"/>
      </bottom>
      <diagonal/>
    </border>
    <border>
      <left/>
      <right style="thick">
        <color auto="1"/>
      </right>
      <top/>
      <bottom style="thin">
        <color auto="1"/>
      </bottom>
      <diagonal/>
    </border>
    <border>
      <left style="thick">
        <color auto="1"/>
      </left>
      <right/>
      <top style="thin">
        <color auto="1"/>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ck">
        <color auto="1"/>
      </left>
      <right/>
      <top/>
      <bottom style="thin">
        <color auto="1"/>
      </bottom>
      <diagonal/>
    </border>
    <border>
      <left/>
      <right style="thin">
        <color auto="1"/>
      </right>
      <top/>
      <bottom style="thin">
        <color auto="1"/>
      </bottom>
      <diagonal/>
    </border>
    <border>
      <left style="thick">
        <color auto="1"/>
      </left>
      <right/>
      <top/>
      <bottom style="thick">
        <color auto="1"/>
      </bottom>
      <diagonal/>
    </border>
    <border>
      <left/>
      <right style="thin">
        <color auto="1"/>
      </right>
      <top/>
      <bottom style="thick">
        <color auto="1"/>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44">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103">
    <xf numFmtId="0" fontId="0" fillId="0" borderId="0" xfId="0"/>
    <xf numFmtId="0" fontId="0" fillId="0" borderId="0" xfId="0" applyProtection="1">
      <protection locked="0"/>
    </xf>
    <xf numFmtId="0" fontId="20" fillId="0" borderId="0" xfId="0" applyFont="1" applyAlignment="1" applyProtection="1">
      <alignment horizontal="right"/>
    </xf>
    <xf numFmtId="0" fontId="0" fillId="0" borderId="0" xfId="0" applyAlignment="1" applyProtection="1">
      <alignment horizontal="left"/>
      <protection locked="0"/>
    </xf>
    <xf numFmtId="44" fontId="0" fillId="0" borderId="0" xfId="1" applyFont="1" applyBorder="1" applyProtection="1"/>
    <xf numFmtId="10" fontId="19" fillId="0" borderId="0" xfId="43" applyNumberFormat="1" applyFont="1" applyAlignment="1" applyProtection="1">
      <alignment horizontal="center"/>
      <protection locked="0"/>
    </xf>
    <xf numFmtId="0" fontId="22" fillId="0" borderId="10" xfId="0" applyFont="1" applyFill="1" applyBorder="1" applyAlignment="1" applyProtection="1">
      <alignment horizontal="center"/>
      <protection locked="0"/>
    </xf>
    <xf numFmtId="0" fontId="22" fillId="0" borderId="10" xfId="0" quotePrefix="1" applyFont="1" applyFill="1" applyBorder="1" applyAlignment="1" applyProtection="1">
      <alignment horizontal="center"/>
      <protection locked="0"/>
    </xf>
    <xf numFmtId="0" fontId="23" fillId="0" borderId="0" xfId="0" applyFont="1" applyFill="1" applyBorder="1" applyAlignment="1">
      <alignment horizontal="center"/>
    </xf>
    <xf numFmtId="0" fontId="23" fillId="0" borderId="11" xfId="0" applyFont="1" applyFill="1" applyBorder="1" applyAlignment="1">
      <alignment horizontal="center"/>
    </xf>
    <xf numFmtId="0" fontId="23" fillId="0" borderId="12" xfId="0" applyFont="1" applyFill="1" applyBorder="1" applyAlignment="1">
      <alignment horizontal="center"/>
    </xf>
    <xf numFmtId="0" fontId="23" fillId="0" borderId="13" xfId="0" applyFont="1" applyFill="1" applyBorder="1" applyAlignment="1">
      <alignment horizontal="center"/>
    </xf>
    <xf numFmtId="0" fontId="0" fillId="0" borderId="14" xfId="0" applyFont="1" applyBorder="1" applyAlignment="1">
      <alignment horizontal="right"/>
    </xf>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22" fillId="0" borderId="0" xfId="0" quotePrefix="1" applyFont="1" applyFill="1" applyBorder="1" applyAlignment="1" applyProtection="1">
      <alignment horizontal="center"/>
      <protection locked="0"/>
    </xf>
    <xf numFmtId="44" fontId="13" fillId="33" borderId="10" xfId="1" applyFont="1" applyFill="1" applyBorder="1" applyProtection="1"/>
    <xf numFmtId="44" fontId="13" fillId="35" borderId="10" xfId="1" applyFont="1" applyFill="1" applyBorder="1" applyProtection="1"/>
    <xf numFmtId="44" fontId="13" fillId="36" borderId="10" xfId="1" applyFont="1" applyFill="1" applyBorder="1" applyProtection="1"/>
    <xf numFmtId="44" fontId="13" fillId="37" borderId="10" xfId="1" applyFont="1" applyFill="1" applyBorder="1" applyProtection="1"/>
    <xf numFmtId="0" fontId="17" fillId="33" borderId="10" xfId="0" applyFont="1" applyFill="1" applyBorder="1" applyAlignment="1" applyProtection="1">
      <alignment horizontal="center"/>
    </xf>
    <xf numFmtId="0" fontId="24" fillId="40" borderId="10" xfId="0" applyFont="1" applyFill="1" applyBorder="1" applyAlignment="1" applyProtection="1">
      <alignment horizontal="center"/>
    </xf>
    <xf numFmtId="0" fontId="23" fillId="0" borderId="0" xfId="0" applyFont="1" applyFill="1" applyAlignment="1"/>
    <xf numFmtId="0" fontId="20" fillId="0" borderId="0" xfId="0" applyFont="1" applyFill="1" applyBorder="1" applyAlignment="1" applyProtection="1">
      <alignment horizontal="right"/>
    </xf>
    <xf numFmtId="44" fontId="18" fillId="0" borderId="0" xfId="1" applyFont="1" applyFill="1" applyBorder="1" applyProtection="1"/>
    <xf numFmtId="0" fontId="0" fillId="33" borderId="0" xfId="0" applyFill="1" applyProtection="1">
      <protection locked="0"/>
    </xf>
    <xf numFmtId="0" fontId="17" fillId="0" borderId="0" xfId="0" quotePrefix="1" applyFont="1"/>
    <xf numFmtId="0" fontId="0" fillId="0" borderId="10" xfId="0" applyBorder="1"/>
    <xf numFmtId="0" fontId="17" fillId="33" borderId="10" xfId="0" applyFont="1" applyFill="1" applyBorder="1"/>
    <xf numFmtId="164" fontId="0" fillId="0" borderId="17" xfId="0" applyNumberFormat="1" applyBorder="1" applyAlignment="1">
      <alignment horizontal="left"/>
    </xf>
    <xf numFmtId="0" fontId="0" fillId="0" borderId="16" xfId="0" applyBorder="1" applyAlignment="1">
      <alignment horizontal="right"/>
    </xf>
    <xf numFmtId="165" fontId="22" fillId="0" borderId="10" xfId="0" applyNumberFormat="1" applyFont="1" applyFill="1" applyBorder="1" applyAlignment="1" applyProtection="1">
      <alignment horizontal="center"/>
      <protection locked="0"/>
    </xf>
    <xf numFmtId="0" fontId="0" fillId="0" borderId="0" xfId="0" applyFont="1"/>
    <xf numFmtId="0" fontId="16" fillId="0" borderId="0" xfId="0" applyFont="1" applyAlignment="1" applyProtection="1">
      <alignment horizontal="right"/>
    </xf>
    <xf numFmtId="44" fontId="13" fillId="34" borderId="10" xfId="1" applyFont="1" applyFill="1" applyBorder="1" applyProtection="1"/>
    <xf numFmtId="44" fontId="13" fillId="39" borderId="10" xfId="1" applyFont="1" applyFill="1" applyBorder="1" applyProtection="1"/>
    <xf numFmtId="0" fontId="13" fillId="0" borderId="0" xfId="0" applyFont="1"/>
    <xf numFmtId="44" fontId="13" fillId="38" borderId="10" xfId="1" applyFont="1" applyFill="1" applyBorder="1" applyProtection="1"/>
    <xf numFmtId="165" fontId="24" fillId="40" borderId="10" xfId="0" applyNumberFormat="1" applyFont="1" applyFill="1" applyBorder="1" applyAlignment="1" applyProtection="1">
      <alignment horizontal="center"/>
    </xf>
    <xf numFmtId="0" fontId="0" fillId="33" borderId="20" xfId="0" applyFill="1" applyBorder="1"/>
    <xf numFmtId="0" fontId="0" fillId="33" borderId="22" xfId="0" applyFill="1" applyBorder="1"/>
    <xf numFmtId="0" fontId="0" fillId="33" borderId="23" xfId="0" applyFill="1" applyBorder="1"/>
    <xf numFmtId="0" fontId="0" fillId="33" borderId="24" xfId="0" applyFill="1" applyBorder="1"/>
    <xf numFmtId="0" fontId="17" fillId="33" borderId="19" xfId="0" applyFont="1" applyFill="1" applyBorder="1" applyAlignment="1" applyProtection="1">
      <alignment horizontal="center"/>
    </xf>
    <xf numFmtId="0" fontId="0" fillId="0" borderId="0" xfId="0" applyBorder="1" applyAlignment="1">
      <alignment horizontal="right"/>
    </xf>
    <xf numFmtId="0" fontId="0" fillId="0" borderId="23" xfId="0" applyFill="1" applyBorder="1"/>
    <xf numFmtId="0" fontId="25" fillId="0" borderId="0" xfId="0" applyFont="1" applyFill="1" applyBorder="1" applyAlignment="1">
      <alignment horizontal="center"/>
    </xf>
    <xf numFmtId="0" fontId="0" fillId="0" borderId="24" xfId="0" applyFill="1" applyBorder="1"/>
    <xf numFmtId="0" fontId="0" fillId="0" borderId="24" xfId="0" applyBorder="1" applyAlignment="1">
      <alignment vertical="top" wrapText="1"/>
    </xf>
    <xf numFmtId="0" fontId="0" fillId="0" borderId="23" xfId="0" applyBorder="1" applyAlignment="1">
      <alignment vertical="top" wrapText="1"/>
    </xf>
    <xf numFmtId="0" fontId="0" fillId="0" borderId="23" xfId="0" applyBorder="1" applyAlignment="1">
      <alignment horizontal="center" vertical="top" wrapText="1"/>
    </xf>
    <xf numFmtId="0" fontId="0" fillId="0" borderId="0" xfId="0" applyBorder="1" applyAlignment="1">
      <alignment horizontal="center" vertical="top" wrapText="1"/>
    </xf>
    <xf numFmtId="0" fontId="0" fillId="0" borderId="24" xfId="0" applyBorder="1" applyAlignment="1">
      <alignment horizontal="center" vertical="top" wrapText="1"/>
    </xf>
    <xf numFmtId="0" fontId="0" fillId="0" borderId="10" xfId="0" pivotButton="1" applyBorder="1"/>
    <xf numFmtId="166" fontId="0" fillId="0" borderId="17" xfId="0" applyNumberFormat="1" applyBorder="1" applyAlignment="1">
      <alignment horizontal="left"/>
    </xf>
    <xf numFmtId="0" fontId="0" fillId="0" borderId="10" xfId="0" applyBorder="1" applyAlignment="1" applyProtection="1">
      <alignment vertical="top"/>
      <protection locked="0"/>
    </xf>
    <xf numFmtId="0" fontId="0" fillId="0" borderId="10" xfId="0" applyBorder="1" applyAlignment="1">
      <alignment vertical="top"/>
    </xf>
    <xf numFmtId="166" fontId="0" fillId="0" borderId="10" xfId="0" applyNumberFormat="1" applyBorder="1" applyAlignment="1" applyProtection="1">
      <alignment vertical="top"/>
      <protection locked="0"/>
    </xf>
    <xf numFmtId="0" fontId="0" fillId="0" borderId="10" xfId="0" applyBorder="1" applyAlignment="1" applyProtection="1">
      <alignment horizontal="left" vertical="top"/>
      <protection locked="0"/>
    </xf>
    <xf numFmtId="0" fontId="0" fillId="33" borderId="0" xfId="0" applyFill="1"/>
    <xf numFmtId="166" fontId="0" fillId="33" borderId="0" xfId="0" applyNumberFormat="1" applyFill="1"/>
    <xf numFmtId="0" fontId="0" fillId="33" borderId="0" xfId="0" applyFill="1" applyAlignment="1">
      <alignment wrapText="1"/>
    </xf>
    <xf numFmtId="166" fontId="0" fillId="0" borderId="10" xfId="0" applyNumberFormat="1" applyBorder="1" applyAlignment="1">
      <alignment vertical="top"/>
    </xf>
    <xf numFmtId="4" fontId="0" fillId="0" borderId="10" xfId="0" applyNumberFormat="1" applyBorder="1" applyAlignment="1" applyProtection="1">
      <alignment vertical="top"/>
      <protection locked="0"/>
    </xf>
    <xf numFmtId="4" fontId="0" fillId="33" borderId="0" xfId="0" applyNumberFormat="1" applyFill="1"/>
    <xf numFmtId="4" fontId="0" fillId="0" borderId="10" xfId="0" applyNumberFormat="1" applyBorder="1" applyAlignment="1">
      <alignment vertical="top"/>
    </xf>
    <xf numFmtId="4" fontId="17" fillId="33" borderId="10" xfId="0" applyNumberFormat="1" applyFont="1" applyFill="1" applyBorder="1"/>
    <xf numFmtId="4" fontId="0" fillId="41" borderId="10" xfId="0" applyNumberFormat="1" applyFill="1" applyBorder="1"/>
    <xf numFmtId="4" fontId="0" fillId="42" borderId="10" xfId="0" applyNumberFormat="1" applyFill="1" applyBorder="1"/>
    <xf numFmtId="0" fontId="28" fillId="33" borderId="0" xfId="0" applyFont="1" applyFill="1" applyProtection="1">
      <protection locked="0"/>
    </xf>
    <xf numFmtId="0" fontId="28" fillId="33" borderId="0" xfId="0" applyFont="1" applyFill="1"/>
    <xf numFmtId="4" fontId="28" fillId="33" borderId="0" xfId="0" applyNumberFormat="1" applyFont="1" applyFill="1" applyProtection="1">
      <protection locked="0"/>
    </xf>
    <xf numFmtId="4" fontId="28" fillId="33" borderId="0" xfId="0" applyNumberFormat="1" applyFont="1" applyFill="1"/>
    <xf numFmtId="0" fontId="28" fillId="33" borderId="0" xfId="0" applyFont="1" applyFill="1" applyAlignment="1">
      <alignment wrapText="1"/>
    </xf>
    <xf numFmtId="166" fontId="28" fillId="33" borderId="0" xfId="0" applyNumberFormat="1" applyFont="1" applyFill="1"/>
    <xf numFmtId="0" fontId="26" fillId="33" borderId="0" xfId="0" applyFont="1" applyFill="1" applyBorder="1" applyAlignment="1">
      <alignment horizontal="center"/>
    </xf>
    <xf numFmtId="0" fontId="25" fillId="33" borderId="21" xfId="0" applyFont="1" applyFill="1" applyBorder="1" applyAlignment="1">
      <alignment horizontal="center"/>
    </xf>
    <xf numFmtId="0" fontId="25" fillId="33" borderId="0" xfId="0" applyFont="1" applyFill="1" applyBorder="1" applyAlignment="1">
      <alignment horizont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left" vertical="center" wrapText="1"/>
    </xf>
    <xf numFmtId="0" fontId="0" fillId="0" borderId="38" xfId="0" applyBorder="1" applyAlignment="1">
      <alignment horizontal="left" vertical="center" wrapText="1"/>
    </xf>
    <xf numFmtId="0" fontId="0" fillId="0" borderId="39" xfId="0" applyBorder="1" applyAlignment="1">
      <alignment horizontal="left" vertical="center" wrapText="1"/>
    </xf>
    <xf numFmtId="0" fontId="0" fillId="0" borderId="0" xfId="0" applyBorder="1" applyAlignment="1">
      <alignment horizontal="center" vertical="top" wrapText="1"/>
    </xf>
    <xf numFmtId="0" fontId="27" fillId="33" borderId="0" xfId="0" applyFont="1" applyFill="1" applyAlignment="1">
      <alignment horizontal="right"/>
    </xf>
    <xf numFmtId="0" fontId="23" fillId="33" borderId="0" xfId="0" applyFont="1" applyFill="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43" builtinId="5"/>
    <cellStyle name="Title" xfId="2" builtinId="15" customBuiltin="1"/>
    <cellStyle name="Total" xfId="18" builtinId="25" customBuiltin="1"/>
    <cellStyle name="Warning Text" xfId="15" builtinId="11" customBuiltin="1"/>
  </cellStyles>
  <dxfs count="207">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fill>
        <patternFill patternType="solid">
          <fgColor indexed="64"/>
          <bgColor rgb="FF0A3F54"/>
        </patternFill>
      </fill>
      <alignment horizontal="general" vertical="bottom" textRotation="0" wrapText="1" indent="0" justifyLastLine="0" shrinkToFit="0" readingOrder="0"/>
    </dxf>
    <dxf>
      <font>
        <b val="0"/>
        <i val="0"/>
        <strike val="0"/>
        <condense val="0"/>
        <extend val="0"/>
        <outline val="0"/>
        <shadow val="0"/>
        <u val="none"/>
        <vertAlign val="baseline"/>
        <sz val="9"/>
        <color theme="0"/>
        <name val="Calibri"/>
        <scheme val="minor"/>
      </font>
      <numFmt numFmtId="166" formatCode="m/d/yyyy;@"/>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166" formatCode="m/d/yyyy;@"/>
      <fill>
        <patternFill patternType="solid">
          <fgColor indexed="64"/>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EBBF1E"/>
        </patternFill>
      </fill>
    </dxf>
    <dxf>
      <fill>
        <patternFill>
          <bgColor rgb="FF0A3F54"/>
        </patternFill>
      </fill>
    </dxf>
    <dxf>
      <fill>
        <patternFill>
          <bgColor rgb="FF0A3F54"/>
        </patternFill>
      </fill>
    </dxf>
    <dxf>
      <font>
        <color theme="0"/>
      </font>
    </dxf>
    <dxf>
      <font>
        <color theme="0"/>
      </font>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FFC000"/>
        </patternFill>
      </fill>
    </dxf>
    <dxf>
      <fill>
        <patternFill>
          <bgColor rgb="FF0A3F54"/>
        </patternFill>
      </fill>
    </dxf>
    <dxf>
      <font>
        <color theme="0"/>
      </font>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EBBF1E"/>
        </patternFill>
      </fill>
    </dxf>
    <dxf>
      <fill>
        <patternFill>
          <bgColor rgb="FF0A3F54"/>
        </patternFill>
      </fill>
    </dxf>
    <dxf>
      <fill>
        <patternFill>
          <bgColor rgb="FF0A3F54"/>
        </patternFill>
      </fill>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ont>
        <color theme="0"/>
      </font>
    </dxf>
    <dxf>
      <font>
        <color theme="0"/>
      </font>
    </dxf>
    <dxf>
      <fill>
        <patternFill>
          <bgColor rgb="FF0A3F54"/>
        </patternFill>
      </fill>
    </dxf>
    <dxf>
      <fill>
        <patternFill>
          <bgColor rgb="FF0A3F54"/>
        </patternFill>
      </fill>
    </dxf>
    <dxf>
      <fill>
        <patternFill>
          <bgColor rgb="FFEBBF1E"/>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ont>
        <color theme="0"/>
      </font>
    </dxf>
    <dxf>
      <fill>
        <patternFill>
          <bgColor rgb="FF0A3F54"/>
        </patternFill>
      </fill>
    </dxf>
    <dxf>
      <fill>
        <patternFill>
          <bgColor rgb="FFFFC000"/>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ill>
        <patternFill>
          <bgColor rgb="FF0A3F54"/>
        </patternFill>
      </fill>
    </dxf>
    <dxf>
      <fill>
        <patternFill>
          <bgColor rgb="FF0A3F54"/>
        </patternFill>
      </fill>
    </dxf>
    <dxf>
      <fill>
        <patternFill>
          <bgColor rgb="FFEBBF1E"/>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0"/>
        <name val="Calibri"/>
        <scheme val="minor"/>
      </font>
      <fill>
        <patternFill patternType="solid">
          <fgColor indexed="64"/>
          <bgColor rgb="FF0A3F54"/>
        </patternFill>
      </fill>
    </dxf>
    <dxf>
      <alignment vertical="top" textRotation="0" wrapText="0" justifyLastLine="0" shrinkToFit="0" readingOrder="0"/>
    </dxf>
    <dxf>
      <fill>
        <patternFill patternType="solid">
          <fgColor indexed="64"/>
          <bgColor rgb="FF0A3F54"/>
        </patternFill>
      </fill>
    </dxf>
  </dxfs>
  <tableStyles count="0" defaultTableStyle="TableStyleMedium2" defaultPivotStyle="PivotStyleLight16"/>
  <colors>
    <mruColors>
      <color rgb="FF0A3F54"/>
      <color rgb="FFEBBF1E"/>
      <color rgb="FF4F6476"/>
      <color rgb="FFACC2DF"/>
      <color rgb="FFDCDFE5"/>
      <color rgb="FF00848E"/>
      <color rgb="FF9A963C"/>
      <color rgb="FFCF6733"/>
      <color rgb="FF6B383B"/>
      <color rgb="FFFFC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 Aging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0A3F54"/>
              </a:solidFill>
              <a:ln w="19050">
                <a:solidFill>
                  <a:schemeClr val="lt1"/>
                </a:solidFill>
              </a:ln>
              <a:effectLst/>
            </c:spPr>
            <c:extLst>
              <c:ext xmlns:c16="http://schemas.microsoft.com/office/drawing/2014/chart" uri="{C3380CC4-5D6E-409C-BE32-E72D297353CC}">
                <c16:uniqueId val="{00000001-12C7-40FB-9329-CBE8F51883A2}"/>
              </c:ext>
            </c:extLst>
          </c:dPt>
          <c:dPt>
            <c:idx val="1"/>
            <c:bubble3D val="0"/>
            <c:spPr>
              <a:solidFill>
                <a:srgbClr val="4F6476"/>
              </a:solidFill>
              <a:ln w="19050">
                <a:solidFill>
                  <a:schemeClr val="lt1"/>
                </a:solidFill>
              </a:ln>
              <a:effectLst/>
            </c:spPr>
            <c:extLst>
              <c:ext xmlns:c16="http://schemas.microsoft.com/office/drawing/2014/chart" uri="{C3380CC4-5D6E-409C-BE32-E72D297353CC}">
                <c16:uniqueId val="{00000003-12C7-40FB-9329-CBE8F51883A2}"/>
              </c:ext>
            </c:extLst>
          </c:dPt>
          <c:dPt>
            <c:idx val="2"/>
            <c:bubble3D val="0"/>
            <c:spPr>
              <a:solidFill>
                <a:srgbClr val="ACC2DF"/>
              </a:solidFill>
              <a:ln w="19050">
                <a:solidFill>
                  <a:schemeClr val="lt1"/>
                </a:solidFill>
              </a:ln>
              <a:effectLst/>
            </c:spPr>
            <c:extLst>
              <c:ext xmlns:c16="http://schemas.microsoft.com/office/drawing/2014/chart" uri="{C3380CC4-5D6E-409C-BE32-E72D297353CC}">
                <c16:uniqueId val="{00000005-12C7-40FB-9329-CBE8F51883A2}"/>
              </c:ext>
            </c:extLst>
          </c:dPt>
          <c:dPt>
            <c:idx val="3"/>
            <c:bubble3D val="0"/>
            <c:spPr>
              <a:solidFill>
                <a:srgbClr val="6B383B"/>
              </a:solidFill>
              <a:ln w="19050">
                <a:solidFill>
                  <a:schemeClr val="lt1"/>
                </a:solidFill>
              </a:ln>
              <a:effectLst/>
            </c:spPr>
            <c:extLst>
              <c:ext xmlns:c16="http://schemas.microsoft.com/office/drawing/2014/chart" uri="{C3380CC4-5D6E-409C-BE32-E72D297353CC}">
                <c16:uniqueId val="{00000007-12C7-40FB-9329-CBE8F51883A2}"/>
              </c:ext>
            </c:extLst>
          </c:dPt>
          <c:dPt>
            <c:idx val="4"/>
            <c:bubble3D val="0"/>
            <c:spPr>
              <a:solidFill>
                <a:srgbClr val="CF6733"/>
              </a:solidFill>
              <a:ln w="19050">
                <a:solidFill>
                  <a:schemeClr val="lt1"/>
                </a:solidFill>
              </a:ln>
              <a:effectLst/>
            </c:spPr>
            <c:extLst>
              <c:ext xmlns:c16="http://schemas.microsoft.com/office/drawing/2014/chart" uri="{C3380CC4-5D6E-409C-BE32-E72D297353CC}">
                <c16:uniqueId val="{00000009-12C7-40FB-9329-CBE8F51883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Overview!$I$6:$I$10</c:f>
              <c:strCache>
                <c:ptCount val="5"/>
                <c:pt idx="0">
                  <c:v>Current</c:v>
                </c:pt>
                <c:pt idx="1">
                  <c:v>Aged1to30</c:v>
                </c:pt>
                <c:pt idx="2">
                  <c:v>Aged31to60</c:v>
                </c:pt>
                <c:pt idx="3">
                  <c:v>Aged61to90</c:v>
                </c:pt>
                <c:pt idx="4">
                  <c:v>AgedOver90</c:v>
                </c:pt>
              </c:strCache>
            </c:strRef>
          </c:cat>
          <c:val>
            <c:numRef>
              <c:f>Overview!$J$6:$J$10</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A-12C7-40FB-9329-CBE8F51883A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Receivable</a:t>
            </a:r>
            <a:r>
              <a:rPr lang="en-US" baseline="0"/>
              <a:t> vs. Retention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Overview!$I$12</c:f>
              <c:strCache>
                <c:ptCount val="1"/>
                <c:pt idx="0">
                  <c:v>Retainage</c:v>
                </c:pt>
              </c:strCache>
            </c:strRef>
          </c:tx>
          <c:spPr>
            <a:solidFill>
              <a:srgbClr val="9A963C"/>
            </a:solidFill>
            <a:ln>
              <a:noFill/>
            </a:ln>
            <a:effectLst/>
          </c:spPr>
          <c:invertIfNegative val="1"/>
          <c:dLbls>
            <c:dLbl>
              <c:idx val="0"/>
              <c:layout>
                <c:manualLayout>
                  <c:x val="0.16695978992073554"/>
                  <c:y val="-0.2499998177311169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9704005642185821"/>
                      <c:h val="0.12016221930592007"/>
                    </c:manualLayout>
                  </c15:layout>
                </c:ext>
                <c:ext xmlns:c16="http://schemas.microsoft.com/office/drawing/2014/chart" uri="{C3380CC4-5D6E-409C-BE32-E72D297353CC}">
                  <c16:uniqueId val="{00000000-70C8-426B-BEE1-5159C8A936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Overview!$J$12</c:f>
              <c:numCache>
                <c:formatCode>_("$"* #,##0.00_);_("$"* \(#,##0.00\);_("$"* "-"??_);_(@_)</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70C8-426B-BEE1-5159C8A9367C}"/>
            </c:ext>
          </c:extLst>
        </c:ser>
        <c:ser>
          <c:idx val="1"/>
          <c:order val="1"/>
          <c:tx>
            <c:strRef>
              <c:f>Overview!$I$13</c:f>
              <c:strCache>
                <c:ptCount val="1"/>
                <c:pt idx="0">
                  <c:v>TotalAged</c:v>
                </c:pt>
              </c:strCache>
            </c:strRef>
          </c:tx>
          <c:spPr>
            <a:solidFill>
              <a:srgbClr val="00848E"/>
            </a:solidFill>
            <a:ln>
              <a:noFill/>
            </a:ln>
            <a:effectLst/>
          </c:spPr>
          <c:invertIfNegative val="0"/>
          <c:dLbls>
            <c:dLbl>
              <c:idx val="0"/>
              <c:layout>
                <c:manualLayout>
                  <c:x val="0.17676184113559523"/>
                  <c:y val="-0.24999963546223397"/>
                </c:manualLayout>
              </c:layout>
              <c:showLegendKey val="0"/>
              <c:showVal val="1"/>
              <c:showCatName val="0"/>
              <c:showSerName val="0"/>
              <c:showPercent val="0"/>
              <c:showBubbleSize val="0"/>
              <c:extLst>
                <c:ext xmlns:c15="http://schemas.microsoft.com/office/drawing/2012/chart" uri="{CE6537A1-D6FC-4f65-9D91-7224C49458BB}">
                  <c15:layout>
                    <c:manualLayout>
                      <c:w val="0.27099418816857118"/>
                      <c:h val="0.16645851560221639"/>
                    </c:manualLayout>
                  </c15:layout>
                </c:ext>
                <c:ext xmlns:c16="http://schemas.microsoft.com/office/drawing/2014/chart" uri="{C3380CC4-5D6E-409C-BE32-E72D297353CC}">
                  <c16:uniqueId val="{00000002-70C8-426B-BEE1-5159C8A936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Overview!$J$13</c:f>
              <c:numCache>
                <c:formatCode>_("$"* #,##0.00_);_("$"* \(#,##0.00\);_("$"* "-"??_);_(@_)</c:formatCode>
                <c:ptCount val="1"/>
                <c:pt idx="0">
                  <c:v>0</c:v>
                </c:pt>
              </c:numCache>
            </c:numRef>
          </c:val>
          <c:extLst>
            <c:ext xmlns:c16="http://schemas.microsoft.com/office/drawing/2014/chart" uri="{C3380CC4-5D6E-409C-BE32-E72D297353CC}">
              <c16:uniqueId val="{00000003-70C8-426B-BEE1-5159C8A9367C}"/>
            </c:ext>
          </c:extLst>
        </c:ser>
        <c:dLbls>
          <c:showLegendKey val="0"/>
          <c:showVal val="0"/>
          <c:showCatName val="0"/>
          <c:showSerName val="0"/>
          <c:showPercent val="0"/>
          <c:showBubbleSize val="0"/>
        </c:dLbls>
        <c:gapWidth val="219"/>
        <c:overlap val="100"/>
        <c:axId val="539595664"/>
        <c:axId val="539589784"/>
      </c:barChart>
      <c:catAx>
        <c:axId val="539595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589784"/>
        <c:crosses val="autoZero"/>
        <c:auto val="1"/>
        <c:lblAlgn val="ctr"/>
        <c:lblOffset val="100"/>
        <c:noMultiLvlLbl val="0"/>
      </c:catAx>
      <c:valAx>
        <c:axId val="5395897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5956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12</xdr:col>
      <xdr:colOff>47625</xdr:colOff>
      <xdr:row>1</xdr:row>
      <xdr:rowOff>47625</xdr:rowOff>
    </xdr:from>
    <xdr:to>
      <xdr:col>18</xdr:col>
      <xdr:colOff>476250</xdr:colOff>
      <xdr:row>16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12</xdr:col>
      <xdr:colOff>52387</xdr:colOff>
      <xdr:row>16</xdr:row>
      <xdr:rowOff>104776</xdr:rowOff>
    </xdr:from>
    <xdr:to>
      <xdr:col>18</xdr:col>
      <xdr:colOff>476250</xdr:colOff>
      <xdr:row>34</xdr:row>
      <xdr:rowOff>104776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9525</xdr:colOff>
          <xdr:row>11</xdr:row>
          <xdr:rowOff>85725</xdr:rowOff>
        </xdr:from>
        <xdr:to>
          <xdr:col>5</xdr:col>
          <xdr:colOff>38100</xdr:colOff>
          <xdr:row>13</xdr:row>
          <xdr:rowOff>57150</xdr:rowOff>
        </xdr:to>
        <xdr:sp macro="" textlink="">
          <xdr:nvSpPr>
            <xdr:cNvPr id="3074" name="btnRefresh"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2</xdr:col>
      <xdr:colOff>219075</xdr:colOff>
      <xdr:row>5</xdr:row>
      <xdr:rowOff>85725</xdr:rowOff>
    </xdr:from>
    <xdr:to>
      <xdr:col>2</xdr:col>
      <xdr:colOff>1314603</xdr:colOff>
      <xdr:row>8</xdr:row>
      <xdr:rowOff>19120</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62075" y="66675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3</xdr:col>
          <xdr:colOff>257175</xdr:colOff>
          <xdr:row>0</xdr:row>
          <xdr:rowOff>323850</xdr:rowOff>
        </xdr:to>
        <xdr:sp macro="" textlink="">
          <xdr:nvSpPr>
            <xdr:cNvPr id="7169" name="btnRefresh"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304800</xdr:colOff>
      <xdr:row>0</xdr:row>
      <xdr:rowOff>142875</xdr:rowOff>
    </xdr:from>
    <xdr:to>
      <xdr:col>1</xdr:col>
      <xdr:colOff>609753</xdr:colOff>
      <xdr:row>3</xdr:row>
      <xdr:rowOff>70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142875"/>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8194" name="btnRefresh"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933450</xdr:colOff>
      <xdr:row>0</xdr:row>
      <xdr:rowOff>85725</xdr:rowOff>
    </xdr:from>
    <xdr:to>
      <xdr:col>0</xdr:col>
      <xdr:colOff>2028978</xdr:colOff>
      <xdr:row>2</xdr:row>
      <xdr:rowOff>95320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3450" y="85725"/>
          <a:ext cx="1095528" cy="5048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10241" name="btnRefresh"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180975</xdr:colOff>
      <xdr:row>0</xdr:row>
      <xdr:rowOff>114300</xdr:rowOff>
    </xdr:from>
    <xdr:to>
      <xdr:col>0</xdr:col>
      <xdr:colOff>1276503</xdr:colOff>
      <xdr:row>2</xdr:row>
      <xdr:rowOff>123895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4300"/>
          <a:ext cx="1095528" cy="5048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9217" name="btnRefresh"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180975</xdr:colOff>
      <xdr:row>0</xdr:row>
      <xdr:rowOff>114300</xdr:rowOff>
    </xdr:from>
    <xdr:to>
      <xdr:col>0</xdr:col>
      <xdr:colOff>1276503</xdr:colOff>
      <xdr:row>2</xdr:row>
      <xdr:rowOff>123895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43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311.34916863426" createdVersion="6" refreshedVersion="6" minRefreshableVersion="3" recordCount="1">
  <cacheSource type="worksheet">
    <worksheetSource name="tblARCollectionsSummary"/>
  </cacheSource>
  <cacheFields count="25">
    <cacheField name="ARCo" numFmtId="0">
      <sharedItems containsNonDate="0" containsString="0" containsBlank="1" containsNumber="1" containsInteger="1" minValue="1" maxValue="60" count="4">
        <m/>
        <n v="60" u="1"/>
        <n v="1" u="1"/>
        <n v="20" u="1"/>
      </sharedItems>
    </cacheField>
    <cacheField name="GLDept# " numFmtId="0">
      <sharedItems containsNonDate="0" containsString="0" containsBlank="1"/>
    </cacheField>
    <cacheField name="GLDeptName" numFmtId="0">
      <sharedItems containsNonDate="0" containsBlank="1" count="40">
        <m/>
        <s v="Mechanical Majors 3 WWC"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M&amp;E Integrated Delivery" u="1"/>
        <s v="Engineering and Design" u="1"/>
        <s v="Facility Management Services"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Energy Rocky Mtn" u="1"/>
        <s v="Fire Protection WWC" u="1"/>
        <s v="Mechanical Majors Oregon" u="1"/>
        <s v="Technical Svcs WWE" u="1"/>
        <s v="Mechanical SPG WWC" u="1"/>
        <s v="Corporate" u="1"/>
        <s v="Innovation Center Spokane" u="1"/>
      </sharedItems>
    </cacheField>
    <cacheField name="POCName" numFmtId="0">
      <sharedItems containsNonDate="0" containsBlank="1" count="1988">
        <m/>
        <s v="" u="1"/>
        <s v="WO:8004389" u="1"/>
        <s v="WO:8006827" u="1"/>
        <s v="WO:8006389" u="1"/>
        <s v="WO:9018091" u="1"/>
        <s v="WO:8005575" u="1"/>
        <s v="ANDREW WILLIAMSON" u="1"/>
        <s v="WO:8005043" u="1"/>
        <s v="WO:8006575" u="1"/>
        <s v="WO:8007575" u="1"/>
        <s v="WO:9023491" u="1"/>
        <s v="WO:8005761" u="1"/>
        <s v="WO:8006761" u="1"/>
        <s v="ALEXANDER WALKUP" u="1"/>
        <s v="WO:8004658" u="1"/>
        <s v="WO:8005658" u="1"/>
        <s v="WO:8006658" u="1"/>
        <s v="WO:8006126" u="1"/>
        <s v="DANIEL SHAW" u="1"/>
        <s v="WO:8007658" u="1"/>
        <s v="CHRISTOPHER MORRISON" u="1"/>
        <s v="WO:8006844" u="1"/>
        <s v="WO:8006312" u="1"/>
        <s v="WO:8006592" u="1"/>
        <s v="WO:8006060" u="1"/>
        <s v="WO:8007592" u="1"/>
        <s v="WO:8007060" u="1"/>
        <s v="WO:8001489" u="1"/>
        <s v="WO:8006209" u="1"/>
        <s v="WO:8006927" u="1"/>
        <s v="JAMES TROXELL" u="1"/>
        <s v="WO:8006489" u="1"/>
        <s v="WO:8007489" u="1"/>
        <s v="RYAN COMAZZETTO" u="1"/>
        <s v="WO:8005675" u="1"/>
        <s v="WO:9007312" u="1"/>
        <s v="WO:8007143" u="1"/>
        <s v="WO:8006861" u="1"/>
        <s v="JIM SCHULTZ" u="1"/>
        <s v="WO:9018526" u="1"/>
        <s v="DAN MCGEE" u="1"/>
        <s v="WO:8006226" u="1"/>
        <s v="WO:8007758" u="1"/>
        <s v="WO:8002692" u="1"/>
        <s v="WO:8006412" u="1"/>
        <s v="WO:8007944" u="1"/>
        <s v="WO:8002160" u="1"/>
        <s v="WO:9018609" u="1"/>
        <s v="WO:8007692" u="1"/>
        <s v="WO:8005057" u="1"/>
        <s v="WO:9022943" u="1"/>
        <s v="WO:8007057" u="1"/>
        <s v="WO:8004775" u="1"/>
        <s v="WO:8005243" u="1"/>
        <s v="WO:8003961" u="1"/>
        <s v="WO:8007243" u="1"/>
        <s v="BRAD BULL" u="1"/>
        <s v="WO:8006961" u="1"/>
        <s v="WO:8007961" u="1"/>
        <s v="ADAM MUELLER" u="1"/>
        <s v="PAUL GUSTAFSON" u="1"/>
        <s v="WO:8007858" u="1"/>
        <s v="WO:8007326" u="1"/>
        <s v="WO:8005074" u="1"/>
        <s v="WO:8002792" u="1"/>
        <s v="WO:8002260" u="1"/>
        <s v="WO:8007512" u="1"/>
        <s v="WO:8008074" u="1"/>
        <s v="WO:8005792" u="1"/>
        <s v="WO:8005260" u="1"/>
        <s v="WO:8006260" u="1"/>
        <s v="WO:8007260" u="1"/>
        <s v="WO:8005409" u="1"/>
        <s v="WO:8007409" u="1"/>
        <s v="WO:8006689" u="1"/>
        <s v="WO:9026325" u="1"/>
        <s v="WO:8007689" u="1"/>
        <s v="WO:8004875" u="1"/>
        <s v="WO:8004343" u="1"/>
        <s v="WO:8006875" u="1"/>
        <s v="WO:8006091" u="1"/>
        <s v="WO:8007091" u="1"/>
        <s v="WO:8004958" u="1"/>
        <s v="WO:8006426" u="1"/>
        <s v="WO:9026156" u="1"/>
        <s v="ROB CARLTON" u="1"/>
        <s v="WO:8005174" u="1"/>
        <s v="WO:8006612" u="1"/>
        <s v="WO:8003892" u="1"/>
        <s v="WO:8003360" u="1"/>
        <s v="WO:8007174" u="1"/>
        <s v="WO:8004360" u="1"/>
        <s v="WO:8006892" u="1"/>
        <s v="WO:8006360" u="1"/>
        <s v="WO:8007360" u="1"/>
        <s v="WO:8005257" u="1"/>
        <s v="WO:8002443" u="1"/>
        <s v="WO:8006257" u="1"/>
        <s v="WO:8005975" u="1"/>
        <s v="WO:9021891" u="1"/>
        <s v="WO:8006975" u="1"/>
        <s v="WO:8006443" u="1"/>
        <s v="WO:8004191" u="1"/>
        <s v="MATT DEMEUSE" u="1"/>
        <s v="MICHAEL FRANK" u="1"/>
        <s v="WO:8006191" u="1"/>
        <s v="WO:9023256" u="1"/>
        <s v="WO:8005274" u="1"/>
        <s v="WO:8007712" u="1"/>
        <s v="WO:8005992" u="1"/>
        <s v="MATTHEW THORNTON" u="1"/>
        <s v="WENDY GUMB" u="1"/>
        <s v="WO:8007460" u="1"/>
        <s v="WO:8006609" u="1"/>
        <s v="SUZANNE VANNATTER" u="1"/>
        <s v="WO:8007889" u="1"/>
        <s v="WO:8007357" u="1"/>
        <s v="WO:8007011" u="1"/>
        <s v="CHARLE MCNULTY" u="1"/>
        <s v="HANNAH BALL" u="1"/>
        <s v="NATHANIAL GOLDMAN" u="1"/>
        <s v="DOUGLAS RENSLOW" u="1"/>
        <s v="WO:8006626" u="1"/>
        <s v="WO:9018860" u="1"/>
        <s v="WO:8007374" u="1"/>
        <s v="WO:8005560" u="1"/>
        <s v="WO:8001989" u="1"/>
        <s v="WO:8006709" u="1"/>
        <s v="WO:8002457" u="1"/>
        <s v="WO:8007709" u="1"/>
        <s v="WO:9023625" u="1"/>
        <s v="WO:8006457" u="1"/>
        <s v="WO:8005643" u="1"/>
        <s v="WO:8006643" u="1"/>
        <s v="WO:8007643" u="1"/>
        <s v="WO:8001008" u="1"/>
        <s v="WO:8005391" u="1"/>
        <s v="WO:8007391" u="1"/>
        <s v="WO:8005008" u="1"/>
        <s v="WO:8007008" u="1"/>
        <s v="WO:8006726" u="1"/>
        <s v="WO:8006288" u="1"/>
        <s v="WO:8003912" u="1"/>
        <s v="WO:8007288" u="1"/>
        <s v="WO:8006912" u="1"/>
        <s v="PAT ROBERTS" u="1"/>
        <s v="WO:8006660" u="1"/>
        <s v="WO:8004809" u="1"/>
        <s v="WO:8006809" u="1"/>
        <s v="WO:8007025" u="1"/>
        <s v="WO:8004211" u="1"/>
        <s v="WO:8005743" u="1"/>
        <s v="WO:8005211" u="1"/>
        <s v="WO:8006211" u="1"/>
        <s v="JOSEPH KORTE" u="1"/>
        <s v="WO:8007491" u="1"/>
        <s v="WO:9018688" u="1"/>
        <s v="ERIK PIECZATKOWSKI" u="1"/>
        <s v="WO:8007108" u="1"/>
        <s v="WO:8004388" u="1"/>
        <s v="WO:8005826" u="1"/>
        <s v="WO:8006388" u="1"/>
        <s v="WO:9023490" u="1"/>
        <s v="WO:8007042" u="1"/>
        <s v="JOSEPH HAGAR" u="1"/>
        <s v="WO:9023639" u="1"/>
        <s v="WO:8004909" u="1"/>
        <s v="WO:8005909" u="1"/>
        <s v="WO:8006909" u="1"/>
        <s v="GREG CAVENER" u="1"/>
        <s v="WO:8002843" u="1"/>
        <s v="WO:8006657" u="1"/>
        <s v="WO:8007657" u="1"/>
        <s v="DAVE ROBINAUGH" u="1"/>
        <s v="WO:8004311" u="1"/>
        <s v="WO:8005843" u="1"/>
        <s v="WO:8006843" u="1"/>
        <s v="WO:8007311" u="1"/>
        <s v="WO:8007591" u="1"/>
        <s v="WO:8005208" u="1"/>
        <s v="WO:8006208" u="1"/>
        <s v="WO:8003488" u="1"/>
        <s v="WO:8007208" u="1"/>
        <s v="THOMAS GUICHARD" u="1"/>
        <s v="WO:8005926" u="1"/>
        <s v="WO:8006488" u="1"/>
        <s v="WO:8007926" u="1"/>
        <s v="WO:8007488" u="1"/>
        <s v="WO:8005674" u="1"/>
        <s v="WO:8006674" u="1"/>
        <s v="WO:8007674" u="1"/>
        <s v="WO:8007142" u="1"/>
        <s v="BILL SKIDMORE" u="1"/>
        <s v="WO:8006860" u="1"/>
        <s v="WO:8006039" u="1"/>
        <s v="WO:8007039" u="1"/>
        <s v="WO:8004225" u="1"/>
        <s v="WO:8005757" u="1"/>
        <s v="WO:9019273" u="1"/>
        <s v="WO:8002943" u="1"/>
        <s v="WO:8006225" u="1"/>
        <s v="WO:8007757" u="1"/>
        <s v="WO:8007225" u="1"/>
        <s v="WO:8006943" u="1"/>
        <s v="WO:8006411" u="1"/>
        <s v="RYAN YORK" u="1"/>
        <s v="WO:8004691" u="1"/>
        <s v="WO:8006691" u="1"/>
        <s v="WO:8007308" u="1"/>
        <s v="WO:8005056" u="1"/>
        <s v="JOHN STEWARD" u="1"/>
        <s v="WO:8006588" u="1"/>
        <s v="ANDREW LYNN" u="1"/>
        <s v="WO:8006774" u="1"/>
        <s v="WO:8006242" u="1"/>
        <s v="WO:8007774" u="1"/>
        <s v="WO:8007242" u="1"/>
        <s v="WO:8005960" u="1"/>
        <s v="WO:8007960" u="1"/>
        <s v="MICHAEL ANTONIETTI" u="1"/>
        <s v="JASON HERTZ" u="1"/>
        <s v="WO:8007139" u="1"/>
        <s v="WO:9018373" u="1"/>
        <s v="WO:8007857" u="1"/>
        <s v="WO:8006511" u="1"/>
        <s v="WO:8007511" u="1"/>
        <s v="WO:8008073" u="1"/>
        <s v="WO:8003408" u="1"/>
        <s v="WO:8006408" u="1"/>
        <s v="WO:8003156" u="1"/>
        <s v="WO:8004874" u="1"/>
        <s v="DAN RONCO" u="1"/>
        <s v="WO:8006342" u="1"/>
        <s v="WO:9018007" u="1"/>
        <s v="KEN CASE" u="1"/>
        <s v="MARJORIE MCCOY" u="1"/>
        <s v="WO:8004239" u="1"/>
        <s v="WO:8001425" u="1"/>
        <s v="VLADISLAV RAZUMOVICH" u="1"/>
        <s v="WO:8006957" u="1"/>
        <s v="WO:8007425" u="1"/>
        <s v="WO:8005173" u="1"/>
        <s v="WO:8006611" u="1"/>
        <s v="WO:8006173" u="1"/>
        <s v="WO:8006891" u="1"/>
        <s v="NED GEBERT" u="1"/>
        <s v="WO:8005508" u="1"/>
        <s v="WO:8006508" u="1"/>
        <s v="HENDRIK VAN HEMERT" u="1"/>
        <s v="WO:8003788" u="1"/>
        <s v="WO:8007508" u="1"/>
        <s v="WO:8004788" u="1"/>
        <s v="WO:9025424" u="1"/>
        <s v="WO:8002974" u="1"/>
        <s v="WO:8006788" u="1"/>
        <s v="WO:9019210" u="1"/>
        <s v="WO:9023610" u="1"/>
        <s v="WO:8003442" u="1"/>
        <s v="WO:8007256" u="1"/>
        <s v="WO:8004974" u="1"/>
        <s v="BILL MAURER" u="1"/>
        <s v="WO:8006442" u="1"/>
        <s v="WO:8005190" u="1"/>
        <s v="WO:8007190" u="1"/>
        <s v="WO:8004339" u="1"/>
        <s v="WO:8003525" u="1"/>
        <s v="WO:8007339" u="1"/>
        <s v="WO:8004087" u="1"/>
        <s v="WO:8006525" u="1"/>
        <s v="WO:8006087" u="1"/>
        <s v="WO:8007087" u="1"/>
        <s v="WO:8006711" u="1"/>
        <s v="WO:8006273" u="1"/>
        <s v="EVAN PATE" u="1"/>
        <s v="ADAM MICHAELIS" u="1"/>
        <s v="WO:8006991" u="1"/>
        <s v="JAKE BELL" u="1"/>
        <s v="WO:8006608" u="1"/>
        <s v="WO:8007608" u="1"/>
        <s v="JON UGELSTAD" u="1"/>
        <s v="WO:8004888" u="1"/>
        <s v="WO:8005356" u="1"/>
        <s v="WO:8006888" u="1"/>
        <s v="WO:8006356" u="1"/>
        <s v="WO:8006010" u="1"/>
        <s v="WO:8007542" u="1"/>
        <s v="WO:8007010" u="1"/>
        <s v="WO:8001439" u="1"/>
        <s v="JAMES TAYLOR" u="1"/>
        <s v="WO:8006625" u="1"/>
        <s v="FRANK GABRIEL" u="1"/>
        <s v="WO:8007187" u="1"/>
        <s v="WO:8005373" u="1"/>
        <s v="WO:8006811" u="1"/>
        <s v="WO:8006373" u="1"/>
        <s v="WO:8007373" u="1"/>
        <s v="WO:8005708" u="1"/>
        <s v="WO:9021624" u="1"/>
        <s v="WO:8005988" u="1"/>
        <s v="WO:8006988" u="1"/>
        <s v="WO:8004110" u="1"/>
        <s v="WO:9025372" u="1"/>
        <s v="WO:8005110" u="1"/>
        <s v="WO:8006642" u="1"/>
        <s v="WO:8006110" u="1"/>
        <s v="GERRY GALVIN" u="1"/>
        <s v="WO:8007110" u="1"/>
        <s v="THOMAS TELLEFSON" u="1"/>
        <s v="WO:8005539" u="1"/>
        <s v="WO:8001287" u="1"/>
        <s v="WO:8002725" u="1"/>
        <s v="WO:8004287" u="1"/>
        <s v="WO:8005287" u="1"/>
        <s v="WO:8006287" u="1"/>
        <s v="WO:8006911" u="1"/>
        <s v="JOSH OSBORN" u="1"/>
        <s v="WO:8007473" u="1"/>
        <s v="WO:8006808" u="1"/>
        <s v="WO:8002556" u="1"/>
        <s v="WO:9019510" u="1"/>
        <s v="WO:8006024" u="1"/>
        <s v="WO:8007024" u="1"/>
        <s v="WO:8006742" u="1"/>
        <s v="WO:8006210" u="1"/>
        <s v="WO:8007210" u="1"/>
        <s v="WO:8005490" u="1"/>
        <s v="WO:8002639" u="1"/>
        <s v="WO:8002107" u="1"/>
        <s v="WO:8003107" u="1"/>
        <s v="WO:8007490" u="1"/>
        <s v="WO:8006107" u="1"/>
        <s v="DAVE MCCLAIN" u="1"/>
        <s v="WO:8006825" u="1"/>
        <s v="WO:8007387" u="1"/>
        <s v="WO:8004573" u="1"/>
        <s v="WO:8005573" u="1"/>
        <s v="WO:8005041" u="1"/>
        <s v="ROBIN S FUNG" u="1"/>
        <s v="WO:8006041" u="1"/>
        <s v="ED STORTON" u="1"/>
        <s v="WO:8007573" u="1"/>
        <s v="WO:8007041" u="1"/>
        <s v="PETER FELZIEN" u="1"/>
        <s v="WO:8004908" u="1"/>
        <s v="WO:8005908" u="1"/>
        <s v="WO:8006908" u="1"/>
        <s v="MAYUR PATEL" u="1"/>
        <s v="WO:8006656" u="1"/>
        <s v="WO:8004310" u="1"/>
        <s v="WO:8006310" u="1"/>
        <s v="WO:8007310" u="1"/>
        <s v="WO:8001739" u="1"/>
        <s v="WO:8006590" u="1"/>
        <s v="WO:8007590" u="1"/>
        <s v="WO:8006207" u="1"/>
        <s v="WO:8003925" u="1"/>
        <s v="WO:8007207" u="1"/>
        <s v="WO:8006925" u="1"/>
        <s v="WO:8006487" u="1"/>
        <s v="WO:8007487" u="1"/>
        <s v="WO:8004141" u="1"/>
        <s v="WO:8005141" u="1"/>
        <s v="WO:8007141" u="1"/>
        <s v="WO:8002756" u="1"/>
        <s v="WO:8003756" u="1"/>
        <s v="WO:8002410" u="1"/>
        <s v="WO:8007224" u="1"/>
        <s v="WO:8004410" u="1"/>
        <s v="WO:8005942" u="1"/>
        <s v="WO:8006942" u="1"/>
        <s v="WO:8006410" u="1"/>
        <s v="WO:8007410" u="1"/>
        <s v="WO:8006690" u="1"/>
        <s v="WO:8003839" u="1"/>
        <s v="WO:8007690" u="1"/>
        <s v="WO:8005839" u="1"/>
        <s v="WO:8006839" u="1"/>
        <s v="WO:8006307" u="1"/>
        <s v="WO:8007839" u="1"/>
        <s v="WO:8005587" u="1"/>
        <s v="WO:8006587" u="1"/>
        <s v="WO:8007587" u="1"/>
        <s v="WO:8007055" u="1"/>
        <s v="WO:8005773" u="1"/>
        <s v="MIKE JOHNSON" u="1"/>
        <s v="WO:8006241" u="1"/>
        <s v="WO:8007241" u="1"/>
        <s v="JEFFREY STEWART" u="1"/>
        <s v="WO:8005138" u="1"/>
        <s v="KRISTINE DREHER" u="1"/>
        <s v="WO:8003324" u="1"/>
        <s v="WO:8007138" u="1"/>
        <s v="WO:8006324" u="1"/>
        <s v="WO:8007324" u="1"/>
        <s v="WO:8004510" u="1"/>
        <s v="WO:8004072" u="1"/>
        <s v="WO:8005510" u="1"/>
        <s v="WO:8006510" u="1"/>
        <s v="WO:8007510" u="1"/>
        <s v="WO:8001939" u="1"/>
        <s v="WO:8006790" u="1"/>
        <s v="WO:8005939" u="1"/>
        <s v="WO:8006939" u="1"/>
        <s v="WO:8006407" u="1"/>
        <s v="WO:8003687" u="1"/>
        <s v="WO:8007407" u="1"/>
        <s v="WO:8007155" u="1"/>
        <s v="WO:8006341" u="1"/>
        <s v="WO:8007341" u="1"/>
        <s v="ANGELA SPAGNUOLO" u="1"/>
        <s v="ERIC WOODELL" u="1"/>
        <s v="WO:8006238" u="1"/>
        <s v="WO:8007238" u="1"/>
        <s v="WO:8004956" u="1"/>
        <s v="WO:8006956" u="1"/>
        <s v="ALEX DANILYUK" u="1"/>
        <s v="WO:8006424" u="1"/>
        <s v="WO:8007424" u="1"/>
        <s v="WO:8005172" u="1"/>
        <s v="QUINN TOLBERT" u="1"/>
        <s v="WO:8003890" u="1"/>
        <s v="WO:8007172" u="1"/>
        <s v="WO:9018369" u="1"/>
        <s v="WO:8005890" u="1"/>
        <s v="WO:8002507" u="1"/>
        <s v="WO:8002069" u="1"/>
        <s v="MARK BARNARD" u="1"/>
        <s v="WO:8004069" u="1"/>
        <s v="WO:8003787" u="1"/>
        <s v="WO:8007507" u="1"/>
        <s v="WO:8004787" u="1"/>
        <s v="MEILEE FIX" u="1"/>
        <s v="WO:8006787" u="1"/>
        <s v="WO:8003973" u="1"/>
        <s v="WO:8003441" u="1"/>
        <s v="WO:8007255" u="1"/>
        <s v="WO:8006973" u="1"/>
        <s v="WO:8006441" u="1"/>
        <s v="WO:9018386" u="1"/>
        <s v="WO:8006338" u="1"/>
        <s v="WO:8007338" u="1"/>
        <s v="WO:8004524" u="1"/>
        <s v="WO:9019572" u="1"/>
        <s v="WO:8007524" u="1"/>
        <s v="WO:8003272" u="1"/>
        <s v="WO:8007086" u="1"/>
        <s v="WO:9015469" u="1"/>
        <s v="JAY WILSON" u="1"/>
        <s v="WO:8006710" u="1"/>
        <s v="WO:8006272" u="1"/>
        <s v="WO:8007710" u="1"/>
        <s v="WO:8004990" u="1"/>
        <s v="WO:8002607" u="1"/>
        <s v="WO:8006990" u="1"/>
        <s v="WO:9022337" u="1"/>
        <s v="WO:8004169" u="1"/>
        <s v="WO:8005169" u="1"/>
        <s v="WO:9026869" u="1"/>
        <s v="WO:8007607" u="1"/>
        <s v="WO:8007169" u="1"/>
        <s v="ASHLEE BARLISH" u="1"/>
        <s v="WO:8004355" u="1"/>
        <s v="WO:8006887" u="1"/>
        <s v="WO:8006355" u="1"/>
        <s v="WO:9013738" u="1"/>
        <s v="WO:8007355" u="1"/>
        <s v="WO:8005541" u="1"/>
        <s v="DAVID ROE" u="1"/>
        <s v="WO:8006541" u="1"/>
        <s v="WO:9025606" u="1"/>
        <s v="WO:8006438" u="1"/>
        <s v="WO:9026168" u="1"/>
        <s v="WO:9021540" u="1"/>
        <s v="WO:8001372" u="1"/>
        <s v="WO:8002810" u="1"/>
        <s v="WO:8006624" u="1"/>
        <s v="LAURIE PRATI" u="1"/>
        <s v="WO:8007624" u="1"/>
        <s v="WO:8007186" u="1"/>
        <s v="WO:8004810" u="1"/>
        <s v="JACOB FISHER" u="1"/>
        <s v="WO:8005372" u="1"/>
        <s v="WO:8006810" u="1"/>
        <s v="MICHELLE MEJIA" u="1"/>
        <s v="WO:9016223" u="1"/>
        <s v="WO:8006707" u="1"/>
        <s v="WO:8002455" u="1"/>
        <s v="WO:9022185" u="1"/>
        <s v="WO:8005455" u="1"/>
        <s v="WO:8006987" u="1"/>
        <s v="WO:8006455" u="1"/>
        <s v="WO:8007987" u="1"/>
        <s v="WO:8007455" u="1"/>
        <s v="WO:8006641" u="1"/>
        <s v="WO:8002538" u="1"/>
        <s v="WO:8003538" u="1"/>
        <s v="WO:8006538" u="1"/>
        <s v="WO:8006006" u="1"/>
        <s v="WO:8003724" u="1"/>
        <s v="WO:8003286" u="1"/>
        <s v="WO:8007006" u="1"/>
        <s v="WO:8005286" u="1"/>
        <s v="WO:8002910" u="1"/>
        <s v="WO:8006910" u="1"/>
        <s v="WO:8007910" u="1"/>
        <s v="WO:8007472" u="1"/>
        <s v="WO:8005369" u="1"/>
        <s v="WO:8006807" u="1"/>
        <s v="WO:8007369" u="1"/>
        <s v="WO:8004555" u="1"/>
        <s v="WO:8004023" u="1"/>
        <s v="MARK HOOD" u="1"/>
        <s v="WO:8007555" u="1"/>
        <s v="WO:8007023" u="1"/>
        <s v="HARRY MCCLANE" u="1"/>
        <s v="WO:8004638" u="1"/>
        <s v="JULIE CAMPBELL" u="1"/>
        <s v="WO:8006638" u="1"/>
        <s v="WO:8003824" u="1"/>
        <s v="WO:8007638" u="1"/>
        <s v="WO:8007106" u="1"/>
        <s v="ANDREW TRANOVICH" u="1"/>
        <s v="WO:8006824" u="1"/>
        <s v="WO:8007824" u="1"/>
        <s v="WO:8007386" u="1"/>
        <s v="WO:8004572" u="1"/>
        <s v="WO:8005572" u="1"/>
        <s v="WO:8007572" u="1"/>
        <s v="WO:8008040" u="1"/>
        <s v="WO:8003907" u="1"/>
        <s v="WO:8005469" u="1"/>
        <s v="WO:8006469" u="1"/>
        <s v="WO:8007907" u="1"/>
        <s v="COLIN PODELNYK" u="1"/>
        <s v="WO:8005123" u="1"/>
        <s v="WO:8006655" u="1"/>
        <s v="WO:8006123" u="1"/>
        <s v="WO:8007123" u="1"/>
        <s v="ROB SAWYER" u="1"/>
        <s v="MELISA VASQUEZ" u="1"/>
        <s v="WO:8002206" u="1"/>
        <s v="BRIAN ERDAHL" u="1"/>
        <s v="WO:8007738" u="1"/>
        <s v="WO:9022122" u="1"/>
        <s v="WO:8003486" u="1"/>
        <s v="WO:8007206" u="1"/>
        <s v="WO:8006486" u="1"/>
        <s v="WO:8007486" u="1"/>
        <s v="WO:8003140" u="1"/>
        <s v="WO:8006672" u="1"/>
        <s v="WO:8007672" u="1"/>
        <s v="WO:9020485" u="1"/>
        <s v="WO:9024205" u="1"/>
        <s v="WO:8005037" u="1"/>
        <s v="WO:8006037" u="1"/>
        <s v="BRETT SONTRA" u="1"/>
        <s v="WO:8003755" u="1"/>
        <s v="WO:8007569" u="1"/>
        <s v="WO:8006755" u="1"/>
        <s v="WO:8003941" u="1"/>
        <s v="WO:8007223" u="1"/>
        <s v="WO:8005941" u="1"/>
        <s v="WO:8006838" u="1"/>
        <s v="WO:8006306" u="1"/>
        <s v="WO:8007306" u="1"/>
        <s v="WO:8006586" u="1"/>
        <s v="WO:8006054" u="1"/>
        <s v="WO:8007054" u="1"/>
        <s v="WO:8006772" u="1"/>
        <s v="WO:8001137" u="1"/>
        <s v="MARK FRISK" u="1"/>
        <s v="WO:8004669" u="1"/>
        <s v="WO:8005669" u="1"/>
        <s v="COLIN COLEBROOK" u="1"/>
        <s v="WO:8001323" u="1"/>
        <s v="WO:8006669" u="1"/>
        <s v="ERIC JOSEF" u="1"/>
        <s v="WO:8006137" u="1"/>
        <s v="MIKE DOUD" u="1"/>
        <s v="WO:8007137" u="1"/>
        <s v="WO:8004323" u="1"/>
        <s v="WO:8005323" u="1"/>
        <s v="WO:8006855" u="1"/>
        <s v="WO:8006323" u="1"/>
        <s v="WO:8007323" u="1"/>
        <s v="WO:8007071" u="1"/>
        <s v="WO:9017986" u="1"/>
        <s v="WO:9018986" u="1"/>
        <s v="WO:8005938" u="1"/>
        <s v="WO:8006406" u="1"/>
        <s v="WO:8007406" u="1"/>
        <s v="JOHN GIBSON" u="1"/>
        <s v="WO:8005154" u="1"/>
        <s v="WO:8006686" u="1"/>
        <s v="WO:8006872" u="1"/>
        <s v="WO:8006340" u="1"/>
        <s v="WO:8007872" u="1"/>
        <s v="WO:9017005" u="1"/>
        <s v="MATTHEW ALLEN" u="1"/>
        <s v="WO:8004237" u="1"/>
        <s v="WO:8004423" u="1"/>
        <s v="WO:8006955" u="1"/>
        <s v="WO:8006423" u="1"/>
        <s v="WO:8007423" u="1"/>
        <s v="WO:8005171" u="1"/>
        <s v="MIKE MORIARTY" u="1"/>
        <s v="WO:8007171" u="1"/>
        <s v="ANDREW CRALL" u="1"/>
        <s v="WO:8006506" u="1"/>
        <s v="WO:8006068" u="1"/>
        <s v="WO:8007506" u="1"/>
        <s v="WO:8007068" u="1"/>
        <s v="WO:8004786" u="1"/>
        <s v="WO:8005786" u="1"/>
        <s v="JEFF PARILLA" u="1"/>
        <s v="WO:8006786" u="1"/>
        <s v="WO:8003972" u="1"/>
        <s v="WO:8007254" u="1"/>
        <s v="WO:8005972" u="1"/>
        <s v="WO:8005440" u="1"/>
        <s v="WO:8006972" u="1"/>
        <s v="WO:8006440" u="1"/>
        <s v="WO:9027170" u="1"/>
        <s v="WO:9014385" u="1"/>
        <s v="WO:9025319" u="1"/>
        <s v="SHELBY FOWLER" u="1"/>
        <s v="DAN WHITLOCK" u="1"/>
        <s v="WO:8005869" u="1"/>
        <s v="WO:8007337" u="1"/>
        <s v="WO:8004523" u="1"/>
        <s v="WO:8004085" u="1"/>
        <s v="WO:9019571" u="1"/>
        <s v="WO:8006523" u="1"/>
        <s v="WO:8006085" u="1"/>
        <s v="WO:9023971" u="1"/>
        <s v="WO:8007523" u="1"/>
        <s v="WO:8004271" u="1"/>
        <s v="WO:8005271" u="1"/>
        <s v="WO:8006271" u="1"/>
        <s v="HOBIE MILLER" u="1"/>
        <s v="WO:9025336" u="1"/>
        <s v="WO:8007606" u="1"/>
        <s v="WO:8007168" u="1"/>
        <s v="WO:8004886" u="1"/>
        <s v="WO:8005354" u="1"/>
        <s v="WO:8002540" u="1"/>
        <s v="WO:8007354" u="1"/>
        <s v="MIKE THORSEN" u="1"/>
        <s v="WO:8006540" u="1"/>
        <s v="STEPHEN MORGAN" u="1"/>
        <s v="WO:8006969" u="1"/>
        <s v="WO:9021353" u="1"/>
        <s v="WO:8007437" u="1"/>
        <s v="WO:8004623" u="1"/>
        <s v="WO:8005623" u="1"/>
        <s v="MATT WEGWORTH" u="1"/>
        <s v="WO:8004371" u="1"/>
        <s v="JIM WERRE" u="1"/>
        <s v="WO:8006371" u="1"/>
        <s v="WO:9016036" u="1"/>
        <s v="WO:8007371" u="1"/>
        <s v="WO:8005706" u="1"/>
        <s v="WO:9019754" u="1"/>
        <s v="WO:8006706" u="1"/>
        <s v="WO:8002454" u="1"/>
        <s v="WO:8006268" u="1"/>
        <s v="WO:8007706" u="1"/>
        <s v="WO:8007268" u="1"/>
        <s v="LARRY BURGHER" u="1"/>
        <s v="WO:9018940" u="1"/>
        <s v="WO:8005986" u="1"/>
        <s v="WO:8006454" u="1"/>
        <s v="WO:8005640" u="1"/>
        <s v="WO:8006640" u="1"/>
        <s v="WO:8007640" u="1"/>
        <s v="WO:8006099" u="1"/>
        <s v="WO:8007099" u="1"/>
        <s v="KEITH CHILLEM" u="1"/>
        <s v="CONNOR BEST" u="1"/>
        <s v="WO:8007471" u="1"/>
        <s v="JEFF KIGGINS" u="1"/>
        <s v="WO:8005806" u="1"/>
        <s v="WO:9019854" u="1"/>
        <s v="WO:8006368" u="1"/>
        <s v="WO:8002022" u="1"/>
        <s v="WO:8007368" u="1"/>
        <s v="WO:8004022" u="1"/>
        <s v="PATRICK STINE" u="1"/>
        <s v="WO:8007554" u="1"/>
        <s v="WO:8007022" u="1"/>
        <s v="WO:8004740" u="1"/>
        <s v="WO:8007740" u="1"/>
        <s v="SAM RATHERT" u="1"/>
        <s v="ANTHONY GALLUZZO" u="1"/>
        <s v="WO:8001823" u="1"/>
        <s v="WO:8002823" u="1"/>
        <s v="WO:8006637" u="1"/>
        <s v="WO:8007105" u="1"/>
        <s v="WO:8005385" u="1"/>
        <s v="DAMON CANNON" u="1"/>
        <s v="WO:8006385" u="1"/>
        <s v="WO:8007823" u="1"/>
        <s v="WO:9027021" u="1"/>
        <s v="WO:8005571" u="1"/>
        <s v="WO:8006571" u="1"/>
        <s v="CRAIG GAMB" u="1"/>
        <s v="WO:9018954" u="1"/>
        <s v="NORMAN FOSTER" u="1"/>
        <s v="WO:8005468" u="1"/>
        <s v="WO:9022384" u="1"/>
        <s v="PAUL STEINHEISER" u="1"/>
        <s v="WO:8006654" u="1"/>
        <s v="WO:8006122" u="1"/>
        <s v="WO:8007654" u="1"/>
        <s v="WO:8007122" u="1"/>
        <s v="WO:8005840" u="1"/>
        <s v="WO:8006019" u="1"/>
        <s v="WO:8007019" u="1"/>
        <s v="WO:8004737" u="1"/>
        <s v="WO:8003923" u="1"/>
        <s v="WO:8007737" u="1"/>
        <s v="WO:8007299" u="1"/>
        <s v="WO:8007205" u="1"/>
        <s v="CASEY MCGOURIN" u="1"/>
        <s v="KENSI HAMILTON" u="1"/>
        <s v="WO:8007485" u="1"/>
        <s v="WO:8007671" u="1"/>
        <s v="WO:8005568" u="1"/>
        <s v="WO:8006568" u="1"/>
        <s v="WO:8002222" u="1"/>
        <s v="WO:8006036" u="1"/>
        <s v="WO:8007568" u="1"/>
        <s v="WO:8003940" u="1"/>
        <s v="WO:8007222" u="1"/>
        <s v="WO:8004940" u="1"/>
        <s v="WO:8007119" u="1"/>
        <s v="DOUG SCHINDLER" u="1"/>
        <s v="WO:8006837" u="1"/>
        <s v="SIMONE HRYCENKO" u="1"/>
        <s v="WO:8007305" u="1"/>
        <s v="STEWART DE LA HUNT" u="1"/>
        <s v="WO:8007585" u="1"/>
        <s v="WO:8006771" u="1"/>
        <s v="WO:9022836" u="1"/>
        <s v="WO:8005668" u="1"/>
        <s v="WO:8006668" u="1"/>
        <s v="WO:8007668" u="1"/>
        <s v="WO:8007136" u="1"/>
        <s v="WO:8006322" u="1"/>
        <s v="WO:8007322" u="1"/>
        <s v="WO:8007070" u="1"/>
        <s v="WO:8006219" u="1"/>
        <s v="WO:8003937" u="1"/>
        <s v="WO:8003405" u="1"/>
        <s v="WO:8005405" u="1"/>
        <s v="WO:8006937" u="1"/>
        <s v="WO:8006499" u="1"/>
        <s v="REVVIE GREEN" u="1"/>
        <s v="WO:8002153" u="1"/>
        <s v="WO:8007499" u="1"/>
        <s v="WO:8007405" u="1"/>
        <s v="WO:8004685" u="1"/>
        <s v="WO:8005685" u="1"/>
        <s v="RENE MENDEZ" u="1"/>
        <s v="WO:8006153" u="1"/>
        <s v="WO:8007153" u="1"/>
        <s v="WO:8004871" u="1"/>
        <s v="WO:8007871" u="1"/>
        <s v="GRIFF KELLY" u="1"/>
        <s v="WO:8006768" u="1"/>
        <s v="WO:8006236" u="1"/>
        <s v="WO:8003954" u="1"/>
        <s v="JOHN FRITCHLEY" u="1"/>
        <s v="WO:8006954" u="1"/>
        <s v="WO:8006422" u="1"/>
        <s v="WO:9026152" u="1"/>
        <s v="WO:8007422" u="1"/>
        <s v="DAVID PICKETT" u="1"/>
        <s v="WO:8006319" u="1"/>
        <s v="WO:9016021" u="1"/>
        <s v="JAMES MILLER" u="1"/>
        <s v="SCOTT WOOD" u="1"/>
        <s v="JAMES CORDER" u="1"/>
        <s v="WO:8005599" u="1"/>
        <s v="JOHN FOGEL" u="1"/>
        <s v="WO:8005067" u="1"/>
        <s v="WO:8006505" u="1"/>
        <s v="WO:8007067" u="1"/>
        <s v="WO:8004785" u="1"/>
        <s v="WO:8003971" u="1"/>
        <s v="ERIK TEYEMA" u="1"/>
        <s v="GLENN BOLT" u="1"/>
        <s v="WO:8006336" u="1"/>
        <s v="WO:8007336" u="1"/>
        <s v="JEANETTE LAMPE" u="1"/>
        <s v="ALISON SCHWABE" u="1"/>
        <s v="WO:8002270" u="1"/>
        <s v="WO:8006084" u="1"/>
        <s v="WO:8007522" u="1"/>
        <s v="WO:8005270" u="1"/>
        <s v="WO:8006270" u="1"/>
        <s v="WO:8007270" u="1"/>
        <s v="WO:8006419" u="1"/>
        <s v="WO:8004605" u="1"/>
        <s v="WO:8005167" u="1"/>
        <s v="WO:8006699" u="1"/>
        <s v="WO:8006167" u="1"/>
        <s v="TREY SCAVONE" u="1"/>
        <s v="JOHN SNELL" u="1"/>
        <s v="WO:8007353" u="1"/>
        <s v="WO:8002968" u="1"/>
        <s v="NATE SMITH" u="1"/>
        <s v="AMY PEER" u="1"/>
        <s v="WO:9003167" u="1"/>
        <s v="WO:8006968" u="1"/>
        <s v="WO:8006436" u="1"/>
        <s v="KENNY BRANSON" u="1"/>
        <s v="JOHN MULL" u="1"/>
        <s v="WO:8005184" u="1"/>
        <s v="WO:8006622" u="1"/>
        <s v="WO:8006184" u="1"/>
        <s v="WO:8007622" u="1"/>
        <s v="WO:9021249" u="1"/>
        <s v="WO:8005370" u="1"/>
        <s v="WO:8006370" u="1"/>
        <s v="DAN ROBINSON" u="1"/>
        <s v="WO:8007519" u="1"/>
        <s v="WO:8004705" u="1"/>
        <s v="WO:8005799" u="1"/>
        <s v="WO:8002985" u="1"/>
        <s v="WO:8006799" u="1"/>
        <s v="WO:8006705" u="1"/>
        <s v="WO:8007705" u="1"/>
        <s v="WO:8007267" u="1"/>
        <s v="WO:8005985" u="1"/>
        <s v="WO:9015118" u="1"/>
        <s v="WO:8006985" u="1"/>
        <s v="WO:8006453" u="1"/>
        <s v="WO:8002536" u="1"/>
        <s v="KEVIN CALLIS" u="1"/>
        <s v="WO:8003098" u="1"/>
        <s v="WO:8004536" u="1"/>
        <s v="WO:8004098" u="1"/>
        <s v="WO:8004004" u="1"/>
        <s v="WO:8005004" u="1"/>
        <s v="WO:8006004" u="1"/>
        <s v="WO:8007004" u="1"/>
        <s v="WO:8004722" u="1"/>
        <s v="WO:8004284" u="1"/>
        <s v="WO:8006722" u="1"/>
        <s v="WO:8006284" u="1"/>
        <s v="WO:8007284" u="1"/>
        <s v="WO:8007470" u="1"/>
        <s v="WO:8006619" u="1"/>
        <s v="WO:8007619" u="1"/>
        <s v="WO:8005899" u="1"/>
        <s v="WO:9021721" u="1"/>
        <s v="WO:8006805" u="1"/>
        <s v="WO:8006367" u="1"/>
        <s v="WO:8004021" u="1"/>
        <s v="WO:8006553" u="1"/>
        <s v="BRIAN CRAWFORD" u="1"/>
        <s v="WO:8007021" u="1"/>
        <s v="WO:8002104" u="1"/>
        <s v="WO:8004104" u="1"/>
        <s v="WO:9025804" u="1"/>
        <s v="WO:8006636" u="1"/>
        <s v="WO:8006198" u="1"/>
        <s v="WO:8006104" u="1"/>
        <s v="WO:8003822" u="1"/>
        <s v="WO:8007636" u="1"/>
        <s v="WO:8007198" u="1"/>
        <s v="WO:8007104" u="1"/>
        <s v="WO:8005822" u="1"/>
        <s v="WO:8006822" u="1"/>
        <s v="WO:8006384" u="1"/>
        <s v="WO:8004570" u="1"/>
        <s v="WO:8006570" u="1"/>
        <s v="WO:8001999" u="1"/>
        <s v="WO:8005719" u="1"/>
        <s v="LYNNE STIMSON" u="1"/>
        <s v="WO:8007719" u="1"/>
        <s v="WO:8004905" u="1"/>
        <s v="WO:9020383" u="1"/>
        <s v="WO:8006905" u="1"/>
        <s v="WO:8002653" u="1"/>
        <s v="WO:8006467" u="1"/>
        <s v="WO:8007999" u="1"/>
        <s v="WO:8003121" u="1"/>
        <s v="WO:8005653" u="1"/>
        <s v="WO:8006653" u="1"/>
        <s v="WO:8007653" u="1"/>
        <s v="WO:8004018" u="1"/>
        <s v="WO:8001204" u="1"/>
        <s v="WO:8006018" u="1"/>
        <s v="WO:8007018" u="1"/>
        <s v="WO:8005298" u="1"/>
        <s v="WO:8006204" u="1"/>
        <s v="WO:8003922" u="1"/>
        <s v="WO:8004484" u="1"/>
        <s v="WO:8006922" u="1"/>
        <s v="MIKE COLLIGAN" u="1"/>
        <s v="WO:8007484" u="1"/>
        <s v="WO:8005567" u="1"/>
        <s v="WO:8006035" u="1"/>
        <s v="WO:8007035" u="1"/>
        <s v="WO:8004753" u="1"/>
        <s v="WO:8005753" u="1"/>
        <s v="WO:8005221" u="1"/>
        <s v="WO:8006753" u="1"/>
        <s v="WO:8007221" u="1"/>
        <s v="WO:9015166" u="1"/>
        <s v="WO:9017604" u="1"/>
        <s v="WO:8004118" u="1"/>
        <s v="WO:8001304" u="1"/>
        <s v="WO:8006118" u="1"/>
        <s v="WO:8007118" u="1"/>
        <s v="WO:8004836" u="1"/>
        <s v="WO:8005398" u="1"/>
        <s v="WO:8005304" u="1"/>
        <s v="WO:8006398" u="1"/>
        <s v="WO:8007304" u="1"/>
        <s v="WO:8005052" u="1"/>
        <s v="WO:8007584" u="1"/>
        <s v="WO:8007052" u="1"/>
        <s v="WO:8006770" u="1"/>
        <s v="LAUREN SNOOK" u="1"/>
        <s v="GARY MCKINNEY" u="1"/>
        <s v="WO:8004919" u="1"/>
        <s v="WO:8002135" u="1"/>
        <s v="WO:8005667" u="1"/>
        <s v="AUDIE WALLACE" u="1"/>
        <s v="WO:8006667" u="1"/>
        <s v="WO:8006135" u="1"/>
        <s v="WO:8007667" u="1"/>
        <s v="WO:9022051" u="1"/>
        <s v="WO:8007135" u="1"/>
        <s v="WO:8006321" u="1"/>
        <s v="WO:8007321" u="1"/>
        <s v="ERIK BONDO" u="1"/>
        <s v="ANDREA VAN BLARICOM" u="1"/>
        <s v="WO:9019266" u="1"/>
        <s v="WO:8006218" u="1"/>
        <s v="WO:8004936" u="1"/>
        <s v="WO:8005936" u="1"/>
        <s v="WO:8005498" u="1"/>
        <s v="WO:9022852" u="1"/>
        <s v="WO:8002684" u="1"/>
        <s v="WO:8006498" u="1"/>
        <s v="WO:8006404" u="1"/>
        <s v="JOHN THOMPSON" u="1"/>
        <s v="WO:8007498" u="1"/>
        <s v="WO:8004152" u="1"/>
        <s v="WO:8006684" u="1"/>
        <s v="WO:8006152" u="1"/>
        <s v="WO:8006870" u="1"/>
        <s v="JOSH HARWOOD" u="1"/>
        <s v="WO:8007049" u="1"/>
        <s v="WO:8004235" u="1"/>
        <s v="WO:8006235" u="1"/>
        <s v="WO:8003421" u="1"/>
        <s v="WO:8007235" u="1"/>
        <s v="WO:8006953" u="1"/>
        <s v="CHRIS SAWYER" u="1"/>
        <s v="WO:8006421" u="1"/>
        <s v="TONY ROSSI" u="1"/>
        <s v="BRADLEY KONYN" u="1"/>
        <s v="WO:8004318" u="1"/>
        <s v="WO:8001066" u="1"/>
        <s v="WO:8002598" u="1"/>
        <s v="JOSH CARLSON" u="1"/>
        <s v="WO:8004504" u="1"/>
        <s v="WO:8004066" u="1"/>
        <s v="WO:8005066" u="1"/>
        <s v="WO:8006598" u="1"/>
        <s v="WO:8007504" u="1"/>
        <s v="WO:8007066" u="1"/>
        <s v="WO:8006252" u="1"/>
        <s v="JED REYNOLDS" u="1"/>
        <s v="WO:8007252" u="1"/>
        <s v="WO:8005970" u="1"/>
        <s v="WO:8006970" u="1"/>
        <s v="WO:8006149" u="1"/>
        <s v="WO:8007335" u="1"/>
        <s v="WO:8006521" u="1"/>
        <s v="WO:8007521" u="1"/>
        <s v="WO:8007083" u="1"/>
        <s v="WO:8008083" u="1"/>
        <s v="SCOTT SPITZER" u="1"/>
        <s v="WO:8003418" u="1"/>
        <s v="WO:9018466" u="1"/>
        <s v="WO:9021866" u="1"/>
        <s v="WO:8005418" u="1"/>
        <s v="CARY JANZ" u="1"/>
        <s v="WO:8006418" u="1"/>
        <s v="WO:9026866" u="1"/>
        <s v="WO:8006698" u="1"/>
        <s v="WO:8006604" u="1"/>
        <s v="WO:8007604" u="1"/>
        <s v="WO:8006884" u="1"/>
        <s v="WO:8006352" u="1"/>
        <s v="WO:8002435" u="1"/>
        <s v="WO:8007249" u="1"/>
        <s v="WO:8005967" u="1"/>
        <s v="WO:8006967" u="1"/>
        <s v="WO:8006435" u="1"/>
        <s v="WO:9014818" u="1"/>
        <s v="WO:8004183" u="1"/>
        <s v="HARLAN WARD" u="1"/>
        <s v="WO:8005621" u="1"/>
        <s v="WO:8006621" u="1"/>
        <s v="WO:9021248" u="1"/>
        <s v="WO:8006518" u="1"/>
        <s v="WO:8006704" u="1"/>
        <s v="WO:8003984" u="1"/>
        <s v="WO:8007704" u="1"/>
        <s v="WO:8003452" u="1"/>
        <s v="WO:8004452" u="1"/>
        <s v="MARK HANKIN" u="1"/>
        <s v="WO:8006984" u="1"/>
        <s v="WO:8006452" u="1"/>
        <s v="WO:8007984" u="1"/>
        <s v="WO:8007452" u="1"/>
        <s v="WO:8003349" u="1"/>
        <s v="WO:8002535" u="1"/>
        <s v="WO:8006349" u="1"/>
        <s v="WO:8007349" u="1"/>
        <s v="KELLY HANI" u="1"/>
        <s v="WO:8003003" u="1"/>
        <s v="WO:8005003" u="1"/>
        <s v="WO:8006535" u="1"/>
        <s v="WO:8006097" u="1"/>
        <s v="WO:8007003" u="1"/>
        <s v="WO:8006283" u="1"/>
        <s v="WO:8007283" u="1"/>
        <s v="JOHN CARLSON" u="1"/>
        <s v="WO:8005618" u="1"/>
        <s v="WO:8002804" u="1"/>
        <s v="WO:8007618" u="1"/>
        <s v="DAVID RAY" u="1"/>
        <s v="JOHN CASSANEGO" u="1"/>
        <s v="WO:8005804" u="1"/>
        <s v="WO:8006898" u="1"/>
        <s v="KYLE GOLD" u="1"/>
        <s v="WO:8006366" u="1"/>
        <s v="WO:8007804" u="1"/>
        <s v="WO:8003552" u="1"/>
        <s v="WO:8005020" u="1"/>
        <s v="WO:8006552" u="1"/>
        <s v="WO:8007552" u="1"/>
        <s v="WO:8007020" u="1"/>
        <s v="AARON SEYMOUR" u="1"/>
        <s v="WO:8006449" u="1"/>
        <s v="WO:8007449" u="1"/>
        <s v="WO:8005635" u="1"/>
        <s v="WO:8006635" u="1"/>
        <s v="WO:8006197" u="1"/>
        <s v="WO:8007635" u="1"/>
        <s v="WO:8007103" u="1"/>
        <s v="WO:8006821" u="1"/>
        <s v="WO:8005718" u="1"/>
        <s v="WO:8006718" u="1"/>
        <s v="WO:8004904" u="1"/>
        <s v="WO:8004466" u="1"/>
        <s v="WO:8005904" u="1"/>
        <s v="WO:8006904" u="1"/>
        <s v="WO:8002120" u="1"/>
        <s v="WO:8004120" u="1"/>
        <s v="WO:8006652" u="1"/>
        <s v="WO:8007652" u="1"/>
        <s v="WO:8004017" u="1"/>
        <s v="WO:8005549" u="1"/>
        <s v="WO:8006549" u="1"/>
        <s v="WO:8007549" u="1"/>
        <s v="WO:8004203" u="1"/>
        <s v="WO:8005297" u="1"/>
        <s v="WO:8006735" u="1"/>
        <s v="WO:8006297" u="1"/>
        <s v="WO:8006203" u="1"/>
        <s v="WO:8003921" u="1"/>
        <s v="WO:8007735" u="1"/>
        <s v="WO:8007203" u="1"/>
        <s v="WO:8004921" u="1"/>
        <s v="WO:8006921" u="1"/>
        <s v="WO:8007483" u="1"/>
        <s v="WO:8001818" u="1"/>
        <s v="MATT PEREIRA" u="1"/>
        <s v="WO:8006818" u="1"/>
        <s v="WO:8007818" u="1"/>
        <s v="WO:8003034" u="1"/>
        <s v="WO:9026202" u="1"/>
        <s v="WO:8007034" u="1"/>
        <s v="WO:8006752" u="1"/>
        <s v="DEBBIE CASE" u="1"/>
        <s v="WO:9014883" u="1"/>
        <s v="WO:8004117" u="1"/>
        <s v="WO:8006649" u="1"/>
        <s v="WO:8007117" u="1"/>
        <s v="WO:8004303" u="1"/>
        <s v="WO:8005835" u="1"/>
        <s v="WO:8006835" u="1"/>
        <s v="WO:8002583" u="1"/>
        <s v="WO:8006397" u="1"/>
        <s v="WO:8006303" u="1"/>
        <s v="WO:8005583" u="1"/>
        <s v="WO:8006583" u="1"/>
        <s v="WO:8006051" u="1"/>
        <s v="WO:9022116" u="1"/>
        <s v="WO:8005918" u="1"/>
        <s v="WO:8006918" u="1"/>
        <s v="WO:8005666" u="1"/>
        <s v="WO:8005134" u="1"/>
        <s v="WO:8006666" u="1"/>
        <s v="WO:9026396" u="1"/>
        <s v="WO:8006134" u="1"/>
        <s v="WO:8003852" u="1"/>
        <s v="WO:8007666" u="1"/>
        <s v="WO:8007134" u="1"/>
        <s v="WO:8004320" u="1"/>
        <s v="WO:8005852" u="1"/>
        <s v="WO:8006852" u="1"/>
        <s v="WO:8007852" u="1"/>
        <s v="WO:8007320" u="1"/>
        <s v="WO:8006217" u="1"/>
        <s v="WO:8003935" u="1"/>
        <s v="WO:8007217" u="1"/>
        <s v="WO:8005497" u="1"/>
        <s v="WO:8006935" u="1"/>
        <s v="WO:9022851" u="1"/>
        <s v="WO:8007497" u="1"/>
        <s v="WO:8005683" u="1"/>
        <s v="WO:8006683" u="1"/>
        <s v="WO:8002048" u="1"/>
        <s v="WO:9020496" u="1"/>
        <s v="CRAIG EMERICK" u="1"/>
        <s v="WO:8007048" u="1"/>
        <s v="WO:8005234" u="1"/>
        <s v="MIKE DONALDSON" u="1"/>
        <s v="WO:8005952" u="1"/>
        <s v="WO:8006952" u="1"/>
        <s v="WO:8006420" u="1"/>
        <s v="WO:8007420" u="1"/>
        <s v="WO:8002317" u="1"/>
        <s v="WO:8005849" u="1"/>
        <s v="WO:8006849" u="1"/>
        <s v="WO:8002597" u="1"/>
        <s v="WO:8006317" u="1"/>
        <s v="WO:9023765" u="1"/>
        <s v="WO:8005503" u="1"/>
        <s v="MADELINE SIMON" u="1"/>
        <s v="WO:8006597" u="1"/>
        <s v="WO:8007503" u="1"/>
        <s v="WO:8007065" u="1"/>
        <s v="WO:8005783" u="1"/>
        <s v="WO:9026951" u="1"/>
        <s v="WO:8006251" u="1"/>
        <s v="KEVIN CONNELL" u="1"/>
        <s v="ZACK SCOTT" u="1"/>
        <s v="WO:8007148" u="1"/>
        <s v="GARY MCMANUS" u="1"/>
        <s v="WO:8006866" u="1"/>
        <s v="DOYLE KAHABKA" u="1"/>
        <s v="JEFF ROGERS" u="1"/>
        <s v="WO:8007334" u="1"/>
        <s v="WO:8005520" u="1"/>
        <s v="WO:8006520" u="1"/>
        <s v="WO:8007520" u="1"/>
        <s v="WO:8007082" u="1"/>
        <s v="WO:9019717" u="1"/>
        <s v="KATHRYN WINGARD" u="1"/>
        <s v="FLOYD SPEARS" u="1"/>
        <s v="WO:8001697" u="1"/>
        <s v="WO:8001603" u="1"/>
        <s v="WO:8006417" u="1"/>
        <s v="WO:8007417" u="1"/>
        <s v="WO:8006697" u="1"/>
        <s v="WO:8006883" u="1"/>
        <s v="WO:8007351" u="1"/>
        <s v="SHARON WILEY" u="1"/>
        <s v="MICHAEL MCDERMOTT" u="1"/>
        <s v="WO:9018202" u="1"/>
        <s v="WO:8002966" u="1"/>
        <s v="WO:8006248" u="1"/>
        <s v="WO:8003434" u="1"/>
        <s v="WO:8007248" u="1"/>
        <s v="WO:8006434" u="1"/>
        <s v="WO:8005182" u="1"/>
        <s v="WO:8007182" u="1"/>
        <s v="JACOB WILSON" u="1"/>
        <s v="WO:9014751" u="1"/>
        <s v="WO:8002703" u="1"/>
        <s v="WO:8006079" u="1"/>
        <s v="WO:8003703" u="1"/>
        <s v="WO:8007517" u="1"/>
        <s v="WO:8005797" u="1"/>
        <s v="JOLENE ROBINSON" u="1"/>
        <s v="WO:8006265" u="1"/>
        <s v="WO:8007797" u="1"/>
        <s v="WO:8005983" u="1"/>
        <s v="WO:8006983" u="1"/>
        <s v="WO:8007983" u="1"/>
        <s v="WO:8007451" u="1"/>
        <s v="WO:8006348" u="1"/>
        <s v="TOD WHITT" u="1"/>
        <s v="WO:8004002" u="1"/>
        <s v="WO:8005002" u="1"/>
        <s v="WO:8006534" u="1"/>
        <s v="WO:8006002" u="1"/>
        <s v="WO:8004282" u="1"/>
        <s v="WO:8005720" u="1"/>
        <s v="WO:8006720" u="1"/>
        <s v="WO:8006282" u="1"/>
        <s v="ROBERT HAIL" u="1"/>
        <s v="WO:8005179" u="1"/>
        <s v="WO:8006179" u="1"/>
        <s v="WO:8007617" u="1"/>
        <s v="WO:8007179" u="1"/>
        <s v="WO:8006803" u="1"/>
        <s v="WO:8007803" u="1"/>
        <s v="WO:8007365" u="1"/>
        <s v="CLINT HAWN" u="1"/>
        <s v="WO:8005551" u="1"/>
        <s v="WO:8006551" u="1"/>
        <s v="MIKE TALARICO" u="1"/>
        <s v="WO:8003448" u="1"/>
        <s v="WO:8006448" u="1"/>
        <s v="WO:8007448" u="1"/>
        <s v="WO:9027178" u="1"/>
        <s v="WO:8003102" u="1"/>
        <s v="WO:8005634" u="1"/>
        <s v="WO:8001382" u="1"/>
        <s v="WO:8006196" u="1"/>
        <s v="WO:8006102" u="1"/>
        <s v="WO:8007196" u="1"/>
        <s v="WO:8007102" u="1"/>
        <s v="GARTH MCCANN" u="1"/>
        <s v="WO:8006820" u="1"/>
        <s v="ACE MARTIN" u="1"/>
        <s v="PAUL WOODS" u="1"/>
        <s v="WO:9015951" u="1"/>
        <s v="WO:8007717" u="1"/>
        <s v="WO:8007279" u="1"/>
        <s v="PAUL BREDESON" u="1"/>
        <s v="DOUG MIRKOVICH" u="1"/>
        <s v="WO:8006997" u="1"/>
        <s v="WO:8006465" u="1"/>
        <s v="ANNE NEELY" u="1"/>
        <s v="WO:9016848" u="1"/>
        <s v="WO:8006651" u="1"/>
        <s v="WO:8007651" u="1"/>
        <s v="WO:8006016" u="1"/>
        <s v="WO:8007548" u="1"/>
        <s v="WO:8007016" u="1"/>
        <s v="WO:9017250" u="1"/>
        <s v="WO:8006202" u="1"/>
        <s v="WO:8007734" u="1"/>
        <s v="WO:8007202" u="1"/>
        <s v="WO:8004482" u="1"/>
        <s v="WO:8006920" u="1"/>
        <s v="WO:8006482" u="1"/>
        <s v="WO:8007920" u="1"/>
        <s v="SCOTT HUEBNER" u="1"/>
        <s v="WO:8007482" u="1"/>
        <s v="MATT OPHARDT" u="1"/>
        <s v="WO:9018147" u="1"/>
        <s v="WO:8005817" u="1"/>
        <s v="WO:8007379" u="1"/>
        <s v="PAUL HAWLEY" u="1"/>
        <s v="WAYNE TEDROW" u="1"/>
        <s v="STEVE RUBY" u="1"/>
        <s v="WO:8005033" u="1"/>
        <s v="WO:8006565" u="1"/>
        <s v="WO:8005751" u="1"/>
        <s v="WO:8006751" u="1"/>
        <s v="WO:8001648" u="1"/>
        <s v="WO:8001396" u="1"/>
        <s v="WO:8007648" u="1"/>
        <s v="WO:8007116" u="1"/>
        <s v="WO:8006302" u="1"/>
        <s v="WO:8007396" u="1"/>
        <s v="WO:8007302" u="1"/>
        <s v="WO:8003050" u="1"/>
        <s v="JAMES SLATER" u="1"/>
        <s v="WO:8004582" u="1"/>
        <s v="WO:8005582" u="1"/>
        <s v="WO:8006582" u="1"/>
        <s v="WO:8007050" u="1"/>
        <s v="WO:8001665" u="1"/>
        <s v="WO:8006917" u="1"/>
        <s v="WO:8002665" u="1"/>
        <s v="WO:8006479" u="1"/>
        <s v="WO:8007479" u="1"/>
        <s v="HEATHER HELGEN" u="1"/>
        <s v="WO:8006665" u="1"/>
        <s v="WO:8006133" u="1"/>
        <s v="WO:8007665" u="1"/>
        <s v="WO:8006851" u="1"/>
        <s v="WO:8007851" u="1"/>
        <s v="WO:8006216" u="1"/>
        <s v="WO:8006496" u="1"/>
        <s v="WO:8006402" u="1"/>
        <s v="WO:8007496" u="1"/>
        <s v="WO:8006682" u="1"/>
        <s v="WO:8007150" u="1"/>
        <s v="WO:9021495" u="1"/>
        <s v="WO:8006047" u="1"/>
        <s v="ALAN LAROCHE" u="1"/>
        <s v="WO:9023401" u="1"/>
        <s v="WO:8007047" u="1"/>
        <s v="WO:8006951" u="1"/>
        <s v="CELINE ZIMMERMAN-BOTEL" u="1"/>
        <s v="CHRIS THOMAS" u="1"/>
        <s v="WO:8002316" u="1"/>
        <s v="ROB MAEZ" u="1"/>
        <s v="WO:8003316" u="1"/>
        <s v="WO:8004848" u="1"/>
        <s v="WO:9024578" u="1"/>
        <s v="WO:8005316" u="1"/>
        <s v="WO:8006848" u="1"/>
        <s v="WO:8006316" u="1"/>
        <s v="WO:8007316" u="1"/>
        <s v="WO:8005596" u="1"/>
        <s v="WO:8005064" u="1"/>
        <s v="WO:8006596" u="1"/>
        <s v="WO:9026232" u="1"/>
        <s v="WO:8006064" u="1"/>
        <s v="WO:8007596" u="1"/>
        <s v="WILL POKORNY" u="1"/>
        <s v="DALE SILHA" u="1"/>
        <s v="WO:8007064" u="1"/>
        <s v="WO:8004250" u="1"/>
        <s v="WO:8006782" u="1"/>
        <s v="WO:8007250" u="1"/>
        <s v="WO:9021315" u="1"/>
        <s v="WO:8004147" u="1"/>
        <s v="WO:8006679" u="1"/>
        <s v="WO:8007679" u="1"/>
        <s v="WO:8007147" u="1"/>
        <s v="WO:8004333" u="1"/>
        <s v="WO:8005865" u="1"/>
        <s v="WO:8006865" u="1"/>
        <s v="JOSEPH MORONI" u="1"/>
        <s v="WO:8007865" u="1"/>
        <s v="WO:8007333" u="1"/>
        <s v="WO:8006081" u="1"/>
        <s v="WO:8007081" u="1"/>
        <s v="WO:8004416" u="1"/>
        <s v="WO:8004164" u="1"/>
        <s v="WO:8005696" u="1"/>
        <s v="WO:8005164" u="1"/>
        <s v="WO:8006696" u="1"/>
        <s v="WO:8007602" u="1"/>
        <s v="WO:8005350" u="1"/>
        <s v="WO:8006350" u="1"/>
        <s v="WO:8007350" u="1"/>
        <s v="WO:8001965" u="1"/>
        <s v="WO:8001433" u="1"/>
        <s v="WO:8005247" u="1"/>
        <s v="WO:8006779" u="1"/>
        <s v="WO:8007779" u="1"/>
        <s v="WO:8007247" u="1"/>
        <s v="WO:8005965" u="1"/>
        <s v="WO:8006965" u="1"/>
        <s v="WO:8006433" u="1"/>
        <s v="WO:8007433" u="1"/>
        <s v="WO:8003181" u="1"/>
        <s v="WO:8007181" u="1"/>
        <s v="STEPHEN KOZLEN" u="1"/>
        <s v="WO:8006516" u="1"/>
        <s v="WO:9022432" u="1"/>
        <s v="WO:8007516" u="1"/>
        <s v="WO:8003264" u="1"/>
        <s v="WO:8007078" u="1"/>
        <s v="WO:8005796" u="1"/>
        <s v="WO:8005702" u="1"/>
        <s v="WO:8006796" u="1"/>
        <s v="WO:8006702" u="1"/>
        <s v="WO:8002450" u="1"/>
        <s v="WO:8006264" u="1"/>
        <s v="WO:8007264" u="1"/>
        <s v="WO:8004982" u="1"/>
        <s v="WO:8005982" u="1"/>
        <s v="WO:8006982" u="1"/>
        <s v="ANDREW DONALD" u="1"/>
        <s v="WO:8006450" u="1"/>
        <s v="SETH PIKE" u="1"/>
        <s v="WO:8003879" u="1"/>
        <s v="WO:8006879" u="1"/>
        <s v="WO:8007879" u="1"/>
        <s v="WO:8007347" u="1"/>
        <s v="BRANDON BEERS" u="1"/>
        <s v="LARRY MAYOTTE" u="1"/>
        <s v="WO:8005533" u="1"/>
        <s v="WO:8001281" u="1"/>
        <s v="WO:8006095" u="1"/>
        <s v="WO:8006001" u="1"/>
        <s v="WO:8007001" u="1"/>
        <s v="WO:8006281" u="1"/>
        <s v="BERNIE MOSES" u="1"/>
        <s v="SPENCER HUPPERT" u="1"/>
        <s v="ADAM MYERS" u="1"/>
        <s v="WO:8005178" u="1"/>
        <s v="WO:8006616" u="1"/>
        <s v="WO:8006178" u="1"/>
        <s v="WO:8007178" u="1"/>
        <s v="WO:8006896" u="1"/>
        <s v="WO:8007896" u="1"/>
        <s v="WO:9022280" u="1"/>
        <s v="WO:8007802" u="1"/>
        <s v="WO:8007364" u="1"/>
        <s v="WO:8005550" u="1"/>
        <s v="WO:8006550" u="1"/>
        <s v="WO:8007550" u="1"/>
        <s v="WO:8003979" u="1"/>
        <s v="WO:8003447" u="1"/>
        <s v="WO:9024615" u="1"/>
        <s v="WO:8005979" u="1"/>
        <s v="WO:8006979" u="1"/>
        <s v="WO:8006447" u="1"/>
        <s v="WO:8007447" u="1"/>
        <s v="WO:8005633" u="1"/>
        <s v="WO:8007101" u="1"/>
        <s v="WO:8005381" u="1"/>
        <s v="WO:8006381" u="1"/>
        <s v="WO:8004716" u="1"/>
        <s v="WO:8006716" u="1"/>
        <s v="BRYAN SVEC" u="1"/>
        <s v="WO:8006278" u="1"/>
        <s v="WO:8007716" u="1"/>
        <s v="WO:8006996" u="1"/>
        <s v="WO:8006902" u="1"/>
        <s v="WO:8007464" u="1"/>
        <s v="WARREN TASTAD" u="1"/>
        <s v="WO:8006650" u="1"/>
        <s v="WO:9023715" u="1"/>
        <s v="WO:8005547" u="1"/>
        <s v="WO:8002733" u="1"/>
        <s v="WO:8006547" u="1"/>
        <s v="WO:8002201" u="1"/>
        <s v="WO:8003733" u="1"/>
        <s v="WO:8007547" u="1"/>
        <s v="WO:8007015" u="1"/>
        <s v="WO:8004295" u="1"/>
        <s v="WO:8006733" u="1"/>
        <s v="WO:8002481" u="1"/>
        <s v="WO:8006295" u="1"/>
        <s v="WO:8007733" u="1"/>
        <s v="WO:8004481" u="1"/>
        <s v="GREGORY SPALDING" u="1"/>
        <s v="WO:8006481" u="1"/>
        <s v="WO:8007481" u="1"/>
        <s v="WO:9019146" u="1"/>
        <s v="WO:8003378" u="1"/>
        <s v="WO:8006816" u="1"/>
        <s v="WO:8006378" u="1"/>
        <s v="WO:8007816" u="1"/>
        <s v="WO:8002032" u="1"/>
        <s v="WO:8005564" u="1"/>
        <s v="WO:8006564" u="1"/>
        <s v="WO:8006032" u="1"/>
        <s v="WO:8007032" u="1"/>
        <s v="WO:8006750" u="1"/>
        <s v="WO:8001647" u="1"/>
        <s v="WO:8004647" u="1"/>
        <s v="WO:8005647" u="1"/>
        <s v="WO:8006647" u="1"/>
        <s v="WO:8006115" u="1"/>
        <s v="WO:8007115" u="1"/>
        <s v="WO:8004833" u="1"/>
        <s v="WO:9024031" u="1"/>
        <s v="WO:8006395" u="1"/>
        <s v="JULIANA MCLEAN" u="1"/>
        <s v="WO:9026031" u="1"/>
        <s v="WO:8004581" u="1"/>
        <s v="WO:8005581" u="1"/>
        <s v="JOSHUA ELLIOTT" u="1"/>
        <s v="WO:8003478" u="1"/>
        <s v="WO:8005916" u="1"/>
        <s v="WO:8005478" u="1"/>
        <s v="WO:8006916" u="1"/>
        <s v="WO:8007478" u="1"/>
        <s v="WO:8005132" u="1"/>
        <s v="WO:8006664" u="1"/>
        <s v="WO:8006132" u="1"/>
        <s v="WO:8007664" u="1"/>
        <s v="WO:8004850" u="1"/>
        <s v="WO:8005850" u="1"/>
        <s v="WO:8006850" u="1"/>
        <s v="JIM ROSENBAUM" u="1"/>
        <s v="WO:8006029" u="1"/>
        <s v="WO:9023915" u="1"/>
        <s v="GEORGE MELANCON" u="1"/>
        <s v="WO:8007029" u="1"/>
        <s v="WO:8001933" u="1"/>
        <s v="WO:8006215" u="1"/>
        <s v="WO:8007747" u="1"/>
        <s v="WO:8004401" u="1"/>
        <s v="WO:8005401" u="1"/>
        <s v="WO:8003681" u="1"/>
        <s v="WO:8007401" u="1"/>
        <s v="WO:8006681" u="1"/>
        <s v="WO:8007681" u="1"/>
        <s v="WO:8007046" u="1"/>
        <s v="CORY SPARLING" u="1"/>
        <s v="WO:8006764" u="1"/>
        <s v="WO:8006232" u="1"/>
        <s v="WO:8007764" u="1"/>
        <s v="WO:8007232" u="1"/>
        <s v="WO:8005950" u="1"/>
        <s v="WO:8006950" u="1"/>
        <s v="WO:8004129" u="1"/>
        <s v="WO:8005847" u="1"/>
        <s v="WO:8006847" u="1"/>
        <s v="WO:8006315" u="1"/>
        <s v="WO:8007315" u="1"/>
        <s v="WO:8003063" u="1"/>
        <s v="WO:8006595" u="1"/>
        <s v="WO:8006501" u="1"/>
        <s v="WO:8007595" u="1"/>
        <s v="AIMEE RHODEY" u="1"/>
        <s v="WO:8004781" u="1"/>
        <s v="TYLER BUSH" u="1"/>
        <s v="STEVE LARSON" u="1"/>
        <s v="MATT EARNHARDT" u="1"/>
        <s v="WO:8006678" u="1"/>
        <s v="WO:8007146" u="1"/>
        <s v="WO:8004864" u="1"/>
        <s v="WO:8005332" u="1"/>
        <s v="WO:8006864" u="1"/>
        <s v="WO:8006332" u="1"/>
        <s v="WO:8007864" u="1"/>
        <s v="KURTIS BAY" u="1"/>
        <s v="WO:8997404" u="1"/>
        <s v="MATT WEBB" u="1"/>
        <s v="WO:8006080" u="1"/>
        <s v="WO:8007080" u="1"/>
        <s v="WO:8002415" u="1"/>
        <s v="WO:8006229" u="1"/>
        <s v="WO:8007229" u="1"/>
        <s v="WO:8004947" u="1"/>
        <s v="JOHN BOWMAN" u="1"/>
        <s v="WO:8004601" u="1"/>
        <s v="WO:8007601" u="1"/>
        <s v="BRETT GREEN" u="1"/>
        <s v="WO:8006881" u="1"/>
        <s v="DENNIS SHELDON" u="1"/>
        <s v="WO:9007080" u="1"/>
        <s v="WO:8002778" u="1"/>
        <s v="WO:8004246" u="1"/>
        <s v="WO:8001432" u="1"/>
        <s v="WO:8006778" u="1"/>
        <s v="WO:8003432" u="1"/>
        <s v="WO:8007246" u="1"/>
        <s v="WO:8005964" u="1"/>
        <s v="JOE ROACH" u="1"/>
        <s v="WO:8006964" u="1"/>
        <s v="WO:8001180" u="1"/>
        <s v="WO:8006432" u="1"/>
        <s v="WO:8004180" u="1"/>
        <s v="WO:8007180" u="1"/>
        <s v="WO:8006329" u="1"/>
        <s v="WO:8005515" u="1"/>
        <s v="WO:8007515" u="1"/>
        <s v="WO:8003263" u="1"/>
        <s v="WO:8007077" u="1"/>
        <s v="WO:8005701" u="1"/>
        <s v="WO:9026963" u="1"/>
        <s v="WO:8006263" u="1"/>
        <s v="WO:8004981" u="1"/>
        <s v="WO:8006981" u="1"/>
        <s v="WO:8007981" u="1"/>
        <s v="KRIS MCKOY" u="1"/>
        <s v="WO:8003346" u="1"/>
        <s v="WO:8006878" u="1"/>
        <s v="WO:8006346" u="1"/>
        <s v="ERIC P PETERSON" u="1"/>
        <s v="WO:8007878" u="1"/>
        <s v="WO:8003532" u="1"/>
        <s v="AL MAGGART" u="1"/>
        <s v="WO:8005094" u="1"/>
        <s v="MONICA KING" u="1"/>
        <s v="ANDREW ARNOLD" u="1"/>
        <s v="WO:8006094" u="1"/>
        <s v="WO:8006000" u="1"/>
        <s v="WO:8007532" u="1"/>
        <s v="NATHAN COLLINS" u="1"/>
        <s v="WO:8007000" u="1"/>
        <s v="WO:9023159" u="1"/>
        <s v="WO:8001177" u="1"/>
        <s v="WO:8006429" u="1"/>
        <s v="WO:8001801" u="1"/>
        <s v="WO:8005177" u="1"/>
        <s v="WO:8006177" u="1"/>
        <s v="WO:8003895" u="1"/>
        <s v="WO:8007615" u="1"/>
        <s v="WO:8003363" u="1"/>
        <s v="WO:8005801" u="1"/>
        <s v="LOU BAILEY" u="1"/>
        <s v="WO:8006895" u="1"/>
        <s v="WO:8006801" u="1"/>
        <s v="WO:8006363" u="1"/>
        <s v="JAKE LANDSIEDEL" u="1"/>
        <s v="WO:8005978" u="1"/>
        <s v="WO:8006446" u="1"/>
        <s v="WO:8007446" u="1"/>
        <s v="WO:8007100" u="1"/>
        <s v="WO:8004380" u="1"/>
        <s v="WO:8005380" u="1"/>
        <s v="WO:8007380" u="1"/>
        <s v="WO:8004529" u="1"/>
        <s v="WO:8007529" u="1"/>
        <s v="WO:8006715" u="1"/>
        <s v="WO:8007277" u="1"/>
        <s v="WO:8004901" u="1"/>
        <s v="WO:8005995" u="1"/>
        <s v="WO:8005901" u="1"/>
        <s v="WO:8006995" u="1"/>
        <s v="WO:8006901" u="1"/>
        <s v="WO:8007463" u="1"/>
        <s v="TODD KOMBOL" u="1"/>
        <s v="WO:9018314" u="1"/>
        <s v="WO:9021714" u="1"/>
        <s v="WO:8005014" u="1"/>
        <s v="WO:8007546" u="1"/>
        <s v="WO:8007014" u="1"/>
        <s v="WO:8006294" u="1"/>
        <s v="WO:8006200" u="1"/>
        <s v="WO:8007732" u="1"/>
        <s v="KATHY LORELLA" u="1"/>
        <s v="WO:8002629" u="1"/>
        <s v="WO:8006480" u="1"/>
        <s v="WO:8001815" u="1"/>
        <s v="WO:8001377" u="1"/>
        <s v="SCOTT ESHER" u="1"/>
        <s v="WO:8006815" u="1"/>
        <s v="WO:8006377" u="1"/>
        <s v="CORY WILTSHIRE" u="1"/>
        <s v="WO:8007377" u="1"/>
        <s v="DARREN BRAULT" u="1"/>
        <s v="WO:8004563" u="1"/>
        <s v="WO:8005563" u="1"/>
        <s v="WO:8007031" u="1"/>
        <s v="WO:9020030" u="1"/>
        <s v="WO:8006646" u="1"/>
        <s v="RENEE SANEK" u="1"/>
        <s v="WO:8005300" u="1"/>
        <s v="WO:8006394" u="1"/>
        <s v="WO:8006300" u="1"/>
        <s v="WO:8007300" u="1"/>
        <s v="WO:8006729" u="1"/>
        <s v="WO:8003477" u="1"/>
        <s v="WO:8006915" u="1"/>
        <s v="WO:8006477" u="1"/>
        <s v="WO:9026113" u="1"/>
        <s v="WO:8006663" u="1"/>
        <s v="WO:8007663" u="1"/>
        <s v="WO:8007131" u="1"/>
        <s v="DAVE SALAZAR" u="1"/>
        <s v="WO:8006028" u="1"/>
        <s v="WO:8006214" u="1"/>
        <s v="WO:8007214" u="1"/>
        <s v="WO:8005932" u="1"/>
        <s v="MARTIN SOKULSKI" u="1"/>
        <s v="WO:8006494" u="1"/>
        <s v="WO:8006400" u="1"/>
        <s v="WO:8007400" u="1"/>
        <s v="TODD SCHAPER" u="1"/>
        <s v="WO:8005829" u="1"/>
        <s v="WO:8006829" u="1"/>
        <s v="DENNIS JACOBS" u="1"/>
        <s v="WO:9019531" u="1"/>
        <s v="WO:8006045" u="1"/>
        <s v="BRIAN ANTONSEN" u="1"/>
        <s v="WO:8007045" u="1"/>
        <s v="STEVE LEONARD" u="1"/>
        <s v="WO:8006763" u="1"/>
        <s v="WO:8007231" u="1"/>
        <s v="WO:8001314" u="1"/>
        <s v="WO:8006128" u="1"/>
        <s v="MIREYA FITZLOFF" u="1"/>
        <s v="WO:8007128" u="1"/>
        <s v="WO:8005846" u="1"/>
        <s v="WO:8006846" u="1"/>
        <s v="WO:8006314" u="1"/>
        <s v="WO:8007314" u="1"/>
        <s v="WO:8001780" u="1"/>
        <s v="WO:8002780" u="1"/>
        <s v="WO:8006594" u="1"/>
        <s v="WO:8006500" u="1"/>
        <s v="GREG WINELAND" u="1"/>
        <s v="WO:8006062" u="1"/>
        <s v="WO:8007594" u="1"/>
        <s v="WO:8007500" u="1"/>
        <s v="WO:8007062" u="1"/>
        <s v="WO:8001929" u="1"/>
        <s v="WO:8006780" u="1"/>
        <s v="WO:8007780" u="1"/>
        <s v="WO:8006929" u="1"/>
        <s v="WO:8002677" u="1"/>
        <s v="JOSE DIAZ" u="1"/>
        <s v="JEFFRY MCBETH" u="1"/>
        <s v="WO:8004145" u="1"/>
        <s v="WO:8006677" u="1"/>
        <s v="KAREN HEDGLIN" u="1"/>
        <s v="WO:8006145" u="1"/>
        <s v="WO:8003863" u="1"/>
        <s v="WO:8005863" u="1"/>
        <s v="WO:8007331" u="1"/>
        <s v="LUCAS LANGBEHN" u="1"/>
        <s v="TARA CARNEY" u="1"/>
        <s v="WO:8007228" u="1"/>
        <s v="JOEL PEREZ" u="1"/>
        <s v="WO:8002694" u="1"/>
        <s v="WO:8002162" u="1"/>
        <s v="WO:8007414" u="1"/>
        <s v="WO:8006694" u="1"/>
        <s v="WO:8007694" u="1"/>
        <s v="WO:8007162" u="1"/>
        <s v="WO:8006880" u="1"/>
        <s v="WO:8007880" u="1"/>
        <s v="WO:8002777" u="1"/>
        <s v="WO:8001963" u="1"/>
        <s v="WO:8005245" u="1"/>
        <s v="WO:8006777" u="1"/>
        <s v="WO:8007245" u="1"/>
        <s v="WO:8005963" u="1"/>
        <s v="DAVE HOWE" u="1"/>
        <s v="WO:8006431" u="1"/>
        <s v="WO:8007431" u="1"/>
        <s v="WO:9027161" u="1"/>
        <s v="TERRI RUTHRUFF" u="1"/>
        <s v="WO:9014562" u="1"/>
        <s v="WO:8007514" u="1"/>
        <s v="WO:8004700" u="1"/>
        <s v="WO:8006262" u="1"/>
        <s v="WO:8004980" u="1"/>
        <s v="JAMES HENDERSON" u="1"/>
        <s v="WO:8002159" u="1"/>
        <s v="BRAD HARDEN" u="1"/>
        <s v="WO:9019113" u="1"/>
        <s v="WO:8006159" u="1"/>
        <s v="WO:8007159" u="1"/>
        <s v="WO:8005345" u="1"/>
        <s v="WO:8006877" u="1"/>
        <s v="WO:8007877" u="1"/>
        <s v="WO:8007345" u="1"/>
        <s v="CHRIS EUDAILY" u="1"/>
        <s v="WO:8005531" u="1"/>
        <s v="WO:8006531" u="1"/>
        <s v="WO:8007531" u="1"/>
        <s v="SEAN CURRIE" u="1"/>
        <s v="WO:8005428" u="1"/>
        <s v="WO:8002614" u="1"/>
        <s v="WO:8006428" u="1"/>
        <s v="WO:8003614" u="1"/>
        <s v="REBECCA FITZSIMMONS" u="1"/>
        <s v="WO:8005176" u="1"/>
        <s v="WO:8004894" u="1"/>
        <s v="WO:8006362" u="1"/>
        <s v="WO:8007800" u="1"/>
        <s v="WO:8003259" u="1"/>
        <s v="WO:8006259" u="1"/>
        <s v="WO:8007259" u="1"/>
        <s v="WO:8005445" u="1"/>
        <s v="WO:8006977" u="1"/>
        <s v="WO:8006445" u="1"/>
        <s v="WO:8007445" u="1"/>
        <s v="WO:8005631" u="1"/>
        <s v="WO:8006193" u="1"/>
        <s v="WO:8007631" u="1"/>
        <s v="WO:8007193" u="1"/>
        <s v="SKIP WOESSNER" u="1"/>
        <s v="WO:8005528" u="1"/>
        <s v="WO:8007528" u="1"/>
        <s v="WO:8004714" u="1"/>
        <s v="WO:8004276" u="1"/>
        <s v="WO:8002994" u="1"/>
        <s v="WO:8006276" u="1"/>
        <s v="WO:8003994" u="1"/>
        <s v="WO:8007714" u="1"/>
        <s v="WO:8005994" u="1"/>
        <s v="WO:8005900" u="1"/>
        <s v="WO:8005462" u="1"/>
        <s v="WO:8006994" u="1"/>
        <s v="WO:8006900" u="1"/>
        <s v="WO:8001359" u="1"/>
        <s v="WO:8006359" u="1"/>
        <s v="WO:8004545" u="1"/>
        <s v="WO:8005545" u="1"/>
        <s v="WO:8006545" u="1"/>
        <s v="WO:9022461" u="1"/>
        <s v="WO:8006013" u="1"/>
        <s v="NEAL RIDER" u="1"/>
        <s v="BRIAN LAYMAN" u="1"/>
        <s v="WO:8008013" u="1"/>
        <s v="WO:8005731" u="1"/>
        <s v="WO:8006731" u="1"/>
        <s v="WO:8006293" u="1"/>
        <s v="WO:8005628" u="1"/>
        <s v="WO:8007814" u="1"/>
        <s v="WO:8007376" u="1"/>
        <s v="WO:8005562" u="1"/>
        <s v="WO:8006459" u="1"/>
        <s v="WO:8007459" u="1"/>
        <s v="WO:8007645" u="1"/>
        <s v="WO:8007113" u="1"/>
        <s v="WO:8005831" u="1"/>
        <s v="WO:8006831" u="1"/>
        <s v="WO:8007393" u="1"/>
        <s v="WO:8003914" u="1"/>
        <s v="JAMES MEYER" u="1"/>
        <s v="WO:8007476" u="1"/>
        <s v="WO:8007662" u="1"/>
        <s v="WO:8007130" u="1"/>
        <s v="WO:8006027" u="1"/>
        <s v="TROY LOFTUS" u="1"/>
        <s v="WO:8008027" u="1"/>
        <s v="WO:8006745" u="1"/>
        <s v="ASHLEY RUIZ" u="1"/>
        <s v="WO:8007213" u="1"/>
        <s v="WO:8004931" u="1"/>
        <s v="WO:8005931" u="1"/>
        <s v="WO:8006493" u="1"/>
        <s v="WO:8007493" u="1"/>
        <s v="WO:9023558" u="1"/>
        <s v="WO:8007828" u="1"/>
        <s v="WO:8004576" u="1"/>
        <s v="WO:8005576" u="1"/>
        <s v="WO:8006576" u="1"/>
        <s v="WO:8007576" u="1"/>
        <s v="WO:9020109" u="1"/>
        <s v="WO:8005762" u="1"/>
        <s v="WO:8006762" u="1"/>
        <s v="WO:8007230" u="1"/>
        <s v="WO:8007659" u="1"/>
        <s v="WO:8007127" u="1"/>
        <s v="AARON COX" u="1"/>
        <s v="WO:8004845" u="1"/>
        <s v="WO:8006845" u="1"/>
        <s v="JUSTIN FALLSTROM" u="1"/>
        <s v="WO:8006593" u="1"/>
        <s v="WO:8007061" u="1"/>
        <s v="WO:8006928" u="1"/>
        <s v="WO:8005144" u="1"/>
        <s v="WO:8006676" u="1"/>
        <s v="WO:8006144" u="1"/>
        <s v="WO:8007144" u="1"/>
        <s v="WO:8005862" u="1"/>
        <s v="WO:8006862" u="1"/>
        <s v="WO:8006330" u="1"/>
        <s v="WO:8003227" u="1"/>
        <s v="WO:8005227" u="1"/>
        <s v="JOE WOLF" u="1"/>
        <s v="WO:8006759" u="1"/>
        <s v="WO:8006227" u="1"/>
        <s v="WO:8005413" u="1"/>
        <s v="WO:8006945" u="1"/>
        <s v="WO:8006413" u="1"/>
        <s v="WO:8007945" u="1"/>
        <s v="WO:8002161" u="1"/>
        <s v="WO:9026861" u="1"/>
        <s v="WO:8006693" u="1"/>
        <s v="WO:8007693" u="1"/>
        <s v="WO:9023758" u="1"/>
        <s v="WO:8003058" u="1"/>
        <s v="WO:8006058" u="1"/>
        <s v="WO:8003244" u="1"/>
        <s v="JEN OLSON" u="1"/>
        <s v="WO:8002962" u="1"/>
        <s v="WO:8006244" u="1"/>
        <s v="WO:8007244" u="1"/>
        <s v="WO:8006962" u="1"/>
        <s v="WO:8006430" u="1"/>
        <s v="WO:8006859" u="1"/>
        <s v="WO:8006327" u="1"/>
        <s v="WO:8007859" u="1"/>
        <s v="WO:8005075" u="1"/>
        <s v="JERRY DAY" u="1"/>
        <s v="WO:8007513" u="1"/>
        <s v="WO:8007075" u="1"/>
        <s v="WO:8005793" u="1"/>
        <s v="WO:8006793" u="1"/>
        <s v="JEFF MARSH" u="1"/>
        <s v="MIKE EDWARDS" u="1"/>
        <s v="RYAN DICKERSON" u="1"/>
        <s v="JANET JANES" u="1"/>
        <s v="WO:9022074" u="1"/>
        <s v="WO:8007158" u="1"/>
        <s v="WO:9018830" u="1"/>
        <s v="WO:8006876" u="1"/>
        <s v="WO:9016009" u="1"/>
        <s v="WO:8005092" u="1"/>
        <s v="WO:8006530" u="1"/>
        <s v="WO:8006092" u="1"/>
        <s v="WO:8007530" u="1"/>
        <s v="CRAIG HAWKINS" u="1"/>
        <s v="WO:8005959" u="1"/>
        <s v="WO:8006427" u="1"/>
        <s v="WO:8007427" u="1"/>
        <s v="WO:8005175" u="1"/>
        <s v="WO:8003893" u="1"/>
        <s v="WO:8005893" u="1"/>
        <s v="WO:8006893" u="1"/>
        <s v="WO:8006361" u="1"/>
        <s v="WO:8007893" u="1"/>
        <s v="WO:8007361" u="1"/>
        <s v="SHANE LARSEN" u="1"/>
        <s v="WO:9021426" u="1"/>
        <s v="SCOTT FLETCHER" u="1"/>
        <s v="RICHARD ZABINSKI" u="1"/>
        <s v="WO:8006258" u="1"/>
        <s v="WO:8007258" u="1"/>
        <s v="WO:8004976" u="1"/>
        <s v="WO:9010389" u="1"/>
        <s v="WO:8005976" u="1"/>
        <s v="RONALD BLACKWELL" u="1"/>
        <s v="WO:8005630" u="1"/>
        <s v="WO:8006630" u="1"/>
        <s v="WO:8006192" u="1"/>
        <s v="WO:8004089" u="1"/>
        <s v="CHARLIE FAJARILLO" u="1"/>
        <s v="WO:8002713" u="1"/>
        <s v="WO:8006527" u="1"/>
        <s v="WO:8007089" u="1"/>
        <s v="WO:8005713" u="1"/>
        <s v="WO:8006713" u="1"/>
        <s v="WO:8007713" u="1"/>
        <s v="WO:8003461" u="1"/>
        <s v="WO:8007275" u="1"/>
        <s v="WO:8005993" u="1"/>
        <s v="WO:8006461" u="1"/>
        <s v="WO:8007461" u="1"/>
        <s v="DAVID BUDD" u="1"/>
        <s v="WO:8003358" u="1"/>
        <s v="SCOTT JUTTE" u="1"/>
        <s v="WO:8004358" u="1"/>
        <s v="WO:8007358" u="1"/>
        <s v="WO:8005544" u="1"/>
        <s v="ED LANDIN" u="1"/>
        <s v="WO:8003730" u="1"/>
        <s v="JAYMES MCMULLIN" u="1"/>
        <s v="WO:8002813" u="1"/>
        <s v="WO:8002375" u="1"/>
        <s v="WO:8007189" u="1"/>
        <s v="WO:8006813" u="1"/>
        <s v="WO:8007375" u="1"/>
        <s v="WO:8005561" u="1"/>
        <s v="WO:8007561" u="1"/>
        <s v="JAMES POSTMA" u="1"/>
        <s v="WO:8004458" u="1"/>
        <s v="ROD SMITH" u="1"/>
        <s v="WO:8006458" u="1"/>
        <s v="WO:8002112" u="1"/>
        <s v="WO:8007458" u="1"/>
        <s v="WO:8005112" u="1"/>
        <s v="WO:8006644" u="1"/>
        <s v="WO:8007644" u="1"/>
        <s v="WO:8007112" u="1"/>
        <s v="WO:8006830" u="1"/>
        <s v="WO:8002009" u="1"/>
        <s v="WO:8007830" u="1"/>
        <s v="WO:8007392" u="1"/>
        <s v="MIKE GRIZZLE" u="1"/>
        <s v="WO:8006009" u="1"/>
        <s v="MIKE SKILLICORN" u="1"/>
        <s v="WO:8003289" u="1"/>
        <s v="JOHN HERNANDEZ" u="1"/>
        <s v="WO:8007009" u="1"/>
        <s v="WO:8006289" u="1"/>
        <s v="WO:8007289" u="1"/>
        <s v="WO:8006913" u="1"/>
        <s v="EASA NOUROUZEE" u="1"/>
        <s v="WO:8007475" u="1"/>
        <s v="WO:8005661" u="1"/>
        <s v="WO:8006661" u="1"/>
        <s v="WO:8007661" u="1"/>
        <s v="SCOTT AEBI" u="1"/>
        <s v="VINCE PISANE" u="1"/>
        <s v="WO:8001744" u="1"/>
        <s v="WO:8005558" u="1"/>
        <s v="WO:8006558" u="1"/>
        <s v="WO:8006026" u="1"/>
        <s v="WO:8007744" u="1"/>
        <s v="WO:8007212" u="1"/>
        <s v="WO:8007492" u="1"/>
        <s v="WO:8006109" u="1"/>
        <s v="WO:8007109" u="1"/>
      </sharedItems>
    </cacheField>
    <cacheField name="ProjectManagers" numFmtId="0">
      <sharedItems containsNonDate="0" containsString="0" containsBlank="1"/>
    </cacheField>
    <cacheField name="ContractDesc" numFmtId="0">
      <sharedItems containsNonDate="0" containsString="0" containsBlank="1"/>
    </cacheField>
    <cacheField name="CustomerName" numFmtId="0">
      <sharedItems containsNonDate="0" containsBlank="1" count="1502">
        <m/>
        <s v="The Harbor Club" u="1"/>
        <s v="Chimacum School District " u="1"/>
        <s v="Ash Grove Cement" u="1"/>
        <s v="Fort Stockton ISD        " u="1"/>
        <s v="BMR - Westlake LLC" u="1"/>
        <s v="Staley Technologies      " u="1"/>
        <s v="Rod Smith                " u="1"/>
        <s v="Siemens Building Technologies Inc" u="1"/>
        <s v="Big Lots" u="1"/>
        <s v="Colorado Energy Office" u="1"/>
        <s v="ProHealth                " u="1"/>
        <s v="Eastside Catholic High Sc" u="1"/>
        <s v="Catalysis                " u="1"/>
        <s v="Mt Baker Holdings        " u="1"/>
        <s v="Aramark Uniform Services," u="1"/>
        <s v="Enso Condominiums" u="1"/>
        <s v="Boy Scouts of America    " u="1"/>
        <s v="Facility Solutions Group " u="1"/>
        <s v="Aurora Church of the Naza" u="1"/>
        <s v="Ron Glauser              " u="1"/>
        <s v="Ron Johnson              " u="1"/>
        <s v="Expedia.com" u="1"/>
        <s v="Macy's - Northtown Mall  " u="1"/>
        <s v="MultAlloy" u="1"/>
        <s v="Colstrip Public Schools  " u="1"/>
        <s v="Jones Lang LaSalle " u="1"/>
        <s v="Lafarge" u="1"/>
        <s v="Gerald Terry             " u="1"/>
        <s v="Silverdale Lutheran Church" u="1"/>
        <s v="&amp;Kloth" u="1"/>
        <s v="Experience Music Project" u="1"/>
        <s v="The Hatch Group" u="1"/>
        <s v="Harold Poll Building" u="1"/>
        <s v="Apple                    " u="1"/>
        <s v="Hines Global REIT        " u="1"/>
        <s v="Jackson Contractors Group" u="1"/>
        <s v="SKB Companies, LLC" u="1"/>
        <s v="WRP Management" u="1"/>
        <s v="The Station at Othello Park" u="1"/>
        <s v="Sinclair Television dba K" u="1"/>
        <s v="Griffith Rubber" u="1"/>
        <s v="Bondgy Inc               " u="1"/>
        <s v="Tillamook County " u="1"/>
        <s v="Recovery Cafe            " u="1"/>
        <s v="University of Wisconsin P" u="1"/>
        <s v="Ross Dress for Less, Inc." u="1"/>
        <s v="Weyerhaeuser Advanced Expense Deposit " u="1"/>
        <s v="Museum Quality Framing" u="1"/>
        <s v="Hudson Pacific Properties" u="1"/>
        <s v="Eastside Corridor Constru" u="1"/>
        <s v="Fresenius Medical Care Spokane" u="1"/>
        <s v="VADATA Inc" u="1"/>
        <s v="HCSA Laundry             " u="1"/>
        <s v="VADATA" u="1"/>
        <s v="Pietromonaco I LLC" u="1"/>
        <s v="King County Solid Waste  " u="1"/>
        <s v="Tarrant County College District" u="1"/>
        <s v="Dewalt Construction &amp; Dev" u="1"/>
        <s v="Mead Investments" u="1"/>
        <s v="Lake Geneva Joint 1 Schoo" u="1"/>
        <s v="RPAI US Management LLC" u="1"/>
        <s v="Color Graphics Cenveo" u="1"/>
        <s v="City of Bellevue Parks De" u="1"/>
        <s v="Level (3) Communications " u="1"/>
        <s v="Champion Combustion Servi" u="1"/>
        <s v="Target Store" u="1"/>
        <s v="Susan Howe               " u="1"/>
        <s v="UPS Tukwila Freight" u="1"/>
        <s v="Pegasus Pho Restaurant" u="1"/>
        <s v="City of Corpus Christi   " u="1"/>
        <s v="Pinnacle Living" u="1"/>
        <s v="King County International" u="1"/>
        <s v="Presidio Networked Soluti" u="1"/>
        <s v="Traverso Properties LLC" u="1"/>
        <s v="Bob &amp; Virgie Hayden      " u="1"/>
        <s v="Costco Wholesale         " u="1"/>
        <s v="LCI Holdings c/o Kate Spade LLC" u="1"/>
        <s v="Kolton Olsen" u="1"/>
        <s v="Kootenai Medical Center" u="1"/>
        <s v="Maple School District    " u="1"/>
        <s v="Stricklund Trust         " u="1"/>
        <s v="Washington Green Schools " u="1"/>
        <s v="St Theresa's Parish      " u="1"/>
        <s v="Dept of Ecology Bldg Svcs" u="1"/>
        <s v="Sound Mental Health      " u="1"/>
        <s v="Integrate Columbia 1 LLC" u="1"/>
        <s v="Fairfax Everett          " u="1"/>
        <s v="Alder Biopharmaceutical  " u="1"/>
        <s v="Salem R80 School District" u="1"/>
        <s v="Ammex                    " u="1"/>
        <s v="Chelan County            " u="1"/>
        <s v="200 Market Associates" u="1"/>
        <s v="Food Lifeline            " u="1"/>
        <s v="Tukwila Pool Metropolitan Park District" u="1"/>
        <s v="USDA ARS WBSC" u="1"/>
        <s v="Carmike Cinemas Inc" u="1"/>
        <s v="Escala - Enzo Sainago" u="1"/>
        <s v="Microsoft Corporation" u="1"/>
        <s v="First &amp; Goal             " u="1"/>
        <s v="Truce Spa @ The Westin" u="1"/>
        <s v="Lafarge North America Wes" u="1"/>
        <s v="Twin City Foods Inc      " u="1"/>
        <s v="Alside" u="1"/>
        <s v="GE - Redmond East Bldg 17" u="1"/>
        <s v="Eastern Washington University" u="1"/>
        <s v="USPD - Narrows View Intermediate School" u="1"/>
        <s v="Hammer &amp; Hand" u="1"/>
        <s v="Foushee &amp; Associates" u="1"/>
        <s v="Sunbelt Controls         " u="1"/>
        <s v="JHS Properties" u="1"/>
        <s v="CSHV Kent North LLC      " u="1"/>
        <s v="FMKTR BTC, LLC.          " u="1"/>
        <s v="CH2M Hill                " u="1"/>
        <s v="Federal Way Public School" u="1"/>
        <s v="San Juan Industries, Inc " u="1"/>
        <s v="JLL - Brewery Block 2" u="1"/>
        <s v="Good Sam MOB Investors, LLC" u="1"/>
        <s v="Fortis Construction" u="1"/>
        <s v="Portland Public Schools" u="1"/>
        <s v="Total Systems Services In" u="1"/>
        <s v="Gilbane Company" u="1"/>
        <s v="Glendale Community Colleg" u="1"/>
        <s v="Walters &amp; Wolf Curtain Wa" u="1"/>
        <s v="Coolidge School District" u="1"/>
        <s v="Marshall Public Schools" u="1"/>
        <s v="Bentall Kennedy          " u="1"/>
        <s v="GM jordan, J Haney &amp; Game Star Inc" u="1"/>
        <s v="Brad Hubbard" u="1"/>
        <s v="Brink &amp; Sadler           " u="1"/>
        <s v="Absco Solutions" u="1"/>
        <s v="Otis Elevator Company" u="1"/>
        <s v="Balfour Beatty Constructi" u="1"/>
        <s v="Monroe Public Schools" u="1"/>
        <s v="4550 Macadam Partners LLC" u="1"/>
        <s v="Providence Infusion &amp; Pha" u="1"/>
        <s v="American Strategic Group " u="1"/>
        <s v="Shell Oil Products US" u="1"/>
        <s v="CBRE/CDK" u="1"/>
        <s v="Spokane Transit Authority" u="1"/>
        <s v="Dawson ISD               " u="1"/>
        <s v="MELVIN MARK PROPERTIES   " u="1"/>
        <s v="Riverstone Residential   " u="1"/>
        <s v="Adams County             " u="1"/>
        <s v="St Joseph Medical Center " u="1"/>
        <s v="City Sprint Delivery" u="1"/>
        <s v="Hubbard Broadcasting" u="1"/>
        <s v="Cypress Semiconductor" u="1"/>
        <s v="OLT - Irma Yen" u="1"/>
        <s v="Norcliffe Estate         " u="1"/>
        <s v="Costco Wholesale Pod     " u="1"/>
        <s v="HMST Enterprises         " u="1"/>
        <s v="Campus Design &amp; Construction" u="1"/>
        <s v="Fairwinds - Northpointe  " u="1"/>
        <s v="The Waterfront Condos" u="1"/>
        <s v="JE Dunn Construction     " u="1"/>
        <s v="Davis Schueller Inc" u="1"/>
        <s v="Auto Warehousing" u="1"/>
        <s v="Level (3) Communications" u="1"/>
        <s v="King County Jet Center" u="1"/>
        <s v="NBBJ                     " u="1"/>
        <s v="Goodrich Corp" u="1"/>
        <s v="CP IV, SEA 28 Ruby       " u="1"/>
        <s v="Wellens Farwell Construction" u="1"/>
        <s v="Westgate Condominiums" u="1"/>
        <s v="Airgas, Nor-Pac, Inc.    " u="1"/>
        <s v="Center for Infectious Disease Research" u="1"/>
        <s v="Bastyr University        " u="1"/>
        <s v="Manhattan School District" u="1"/>
        <s v="City of Seattle Parks &amp; Recreation" u="1"/>
        <s v="Uinta County School Distr" u="1"/>
        <s v="Washington Real Estate Holdings, LLC" u="1"/>
        <s v="1000 Inc.                " u="1"/>
        <s v="Grayhawk Construction    " u="1"/>
        <s v="Swinerton Builders       " u="1"/>
        <s v="Avista" u="1"/>
        <s v="Laurel Group             " u="1"/>
        <s v="North Thurston Public Sch" u="1"/>
        <s v="Overlake Golf &amp; Country Club" u="1"/>
        <s v="Kanto Corp" u="1"/>
        <s v="Vibra Specialty Hospital " u="1"/>
        <s v="Skanska USA Bldg OR Divis" u="1"/>
        <s v="Seattle University       " u="1"/>
        <s v="Apple Inc" u="1"/>
        <s v="Waco Scaffold &amp; Equipment" u="1"/>
        <s v="PCL Construction Services" u="1"/>
        <s v="Stevensville Public Schoo" u="1"/>
        <s v="WCP Solutions" u="1"/>
        <s v="Microsoft CY1 Data" u="1"/>
        <s v="Monte Hester             " u="1"/>
        <s v="Peach &amp; Johnston LLC     " u="1"/>
        <s v="The Eliot Tower #2150" u="1"/>
        <s v="Open Square" u="1"/>
        <s v="Sapa Profiles            " u="1"/>
        <s v="Nordstrom                " u="1"/>
        <s v="Surescripts Enterprise Services" u="1"/>
        <s v="Essex Property Trust, Inc" u="1"/>
        <s v="Saratoga Commercial Manag" u="1"/>
        <s v="Monte Villa Farms LLC" u="1"/>
        <s v="Spokane County           " u="1"/>
        <s v="East Valley School District" u="1"/>
        <s v="SBCTC" u="1"/>
        <s v="Fasteners                " u="1"/>
        <s v="Lovett Services" u="1"/>
        <s v="Bay Vista Building       " u="1"/>
        <s v="General Air Conditioning " u="1"/>
        <s v="12W RPO, LLC             " u="1"/>
        <s v="Lakewood School District #306" u="1"/>
        <s v="Dick Anderson Constructio" u="1"/>
        <s v="Nelson Electric          " u="1"/>
        <s v="BPT Amy Sun              " u="1"/>
        <s v="Gina's Design Corner     " u="1"/>
        <s v="CALPORTLAND" u="1"/>
        <s v="Branded Solution Properti" u="1"/>
        <s v="Dell Quincy Data Center" u="1"/>
        <s v="CHI AP Support Center    " u="1"/>
        <s v="HIGH WEST PARTNERSHIP    " u="1"/>
        <s v="Mukilteo School District " u="1"/>
        <s v="Skyline @ First Hill" u="1"/>
        <s v="Santa Clara County       " u="1"/>
        <s v="Macy's Accounts Payables" u="1"/>
        <s v="Schuchart Corporation    " u="1"/>
        <s v="Pueblo City Schools      " u="1"/>
        <s v="RALCORP FROZEN BAKERY PRO" u="1"/>
        <s v="Stulz ATS                " u="1"/>
        <s v="Peace Health Medical Group" u="1"/>
        <s v="Waste Management National Services" u="1"/>
        <s v="FORMA Construction       " u="1"/>
        <s v="Prem Group               " u="1"/>
        <s v="Premier Center Management" u="1"/>
        <s v="Alexander's Mobility Serv" u="1"/>
        <s v="Lakha Prop - Lakewood TC, LLC" u="1"/>
        <s v="Ferguson Construction" u="1"/>
        <s v="Red Hawk Fire &amp; Security " u="1"/>
        <s v="Madison Metropolitan Scho" u="1"/>
        <s v="Spokane Valley Partners  " u="1"/>
        <s v="General Growth Properties" u="1"/>
        <s v="Terry Owens LLC          " u="1"/>
        <s v="State of Washington - Gen" u="1"/>
        <s v="Haskell Memorial Hospital" u="1"/>
        <s v="Holland America Cruise Liner" u="1"/>
        <s v="Associated Earth Sciences" u="1"/>
        <s v="Suncadia HOA LMCA        " u="1"/>
        <s v="AutoZone Parts, Inc" u="1"/>
        <s v="Jackson Dean Construction" u="1"/>
        <s v="KCIT Radio Communication " u="1"/>
        <s v="Peekay Properties        " u="1"/>
        <s v="PCI" u="1"/>
        <s v="Slalom LLC               " u="1"/>
        <s v="Quanex - Mikron Industries" u="1"/>
        <s v="Washington Education Association" u="1"/>
        <s v="Neenan Company LLLP      " u="1"/>
        <s v="Eastlake Investors" u="1"/>
        <s v="Walthew Building LLC" u="1"/>
        <s v="Koehler &amp; Company" u="1"/>
        <s v="Image Mill               " u="1"/>
        <s v="Polson School District   " u="1"/>
        <s v="Hope Moore" u="1"/>
        <s v="McMenamins Pub" u="1"/>
        <s v="JTM Construction         " u="1"/>
        <s v="Roger Hunt               " u="1"/>
        <s v="Cascade Rubber Products, " u="1"/>
        <s v="Boeing                   " u="1"/>
        <s v="Boeing Company           " u="1"/>
        <s v="Glacier Northwest        " u="1"/>
        <s v="William A Duffy III      " u="1"/>
        <s v="Mutual Of Enumclaw Main  " u="1"/>
        <s v="Liberty Mutual" u="1"/>
        <s v="Acumentra Health" u="1"/>
        <s v="U of W Laundry           " u="1"/>
        <s v="Island Hospital" u="1"/>
        <s v="NFC Hawthorne, LLC       " u="1"/>
        <s v="Madison Apartments" u="1"/>
        <s v="JPC Architechts          " u="1"/>
        <s v="SHELL OIL                " u="1"/>
        <s v="Fed Ex Ground Package" u="1"/>
        <s v="Jasper Apartments" u="1"/>
        <s v="Tuner Construction" u="1"/>
        <s v="Pegasus Thoroughbreds    " u="1"/>
        <s v="Puget Sound Pipe - Kent" u="1"/>
        <s v="Madison Marquette Retail Services" u="1"/>
        <s v="Liberty Mutual Insurance" u="1"/>
        <s v="Etiquette                " u="1"/>
        <s v="Jorgensen Forge          " u="1"/>
        <s v="Washougal School District" u="1"/>
        <s v="Hoffman Construction" u="1"/>
        <s v="Stanley Company          " u="1"/>
        <s v="Campbell R-II School Dist" u="1"/>
        <s v="Good Sam MOB Investors, L" u="1"/>
        <s v="Green Dot Public Schools Washington State" u="1"/>
        <s v="Cole &amp; Weber" u="1"/>
        <s v="Dr Jansen Richins        " u="1"/>
        <s v="CHSPSC FAC               " u="1"/>
        <s v="Allstate" u="1"/>
        <s v="Colin Construction" u="1"/>
        <s v="MRJ Constructors         " u="1"/>
        <s v="Chihuly Inc" u="1"/>
        <s v="St Cloud District        " u="1"/>
        <s v="Fluke Corporation        " u="1"/>
        <s v="Arden Realty Inc Redmond Hilltop 2005A" u="1"/>
        <s v="Kiemle &amp; Hagood Company" u="1"/>
        <s v="Equinix                  " u="1"/>
        <s v="Costco - Data Center" u="1"/>
        <s v="LEG PTRS I Tukwila LLC / Steelwave" u="1"/>
        <s v="Doug Moore" u="1"/>
        <s v="UDR, Inc                 " u="1"/>
        <s v="Shell Oil Products" u="1"/>
        <s v="USB2" u="1"/>
        <s v="Siemens Industry Inc" u="1"/>
        <s v="PhenoPath Laboratories" u="1"/>
        <s v="Sandwich SC LLC          " u="1"/>
        <s v="Tierpoint Seattle Holding" u="1"/>
        <s v="Gilman Square" u="1"/>
        <s v="Swedish Medical Center   " u="1"/>
        <s v="King Machine LLC         " u="1"/>
        <s v="John Madden Co" u="1"/>
        <s v="Reimers &amp; Jolivette Inc  " u="1"/>
        <s v="Alstom Grid Inc" u="1"/>
        <s v="US Federal Courthouse" u="1"/>
        <s v="AT&amp;T CRE                 " u="1"/>
        <s v="Dave &amp; Sandy Sabey       " u="1"/>
        <s v="Vancouver Clinic " u="1"/>
        <s v="Alana Jewelry" u="1"/>
        <s v="Callison Architecture Inc" u="1"/>
        <s v="The Service Station" u="1"/>
        <s v="MS3, LLC" u="1"/>
        <s v="River Ridge School District" u="1"/>
        <s v="E3 Washington            " u="1"/>
        <s v="For Sill Apache Casino   " u="1"/>
        <s v="Whole Foods              " u="1"/>
        <s v="Montrose County School Di" u="1"/>
        <s v="Arden Realty Inc Redmond Hilltop 2005B" u="1"/>
        <s v="Lydig Construction" u="1"/>
        <s v="New Mexico Military Insti" u="1"/>
        <s v="901 5th Ave Kennedy Wilson Properties" u="1"/>
        <s v="Lease Crutcher Lewis     " u="1"/>
        <s v="Ted Wight" u="1"/>
        <s v="Clark County             " u="1"/>
        <s v="Oshkosh Area School Distr" u="1"/>
        <s v="St Mark Senior Living" u="1"/>
        <s v="HOLIDAY INN              " u="1"/>
        <s v="Adventist Health Northwes" u="1"/>
        <s v="Pine Island/Takisaki JV  " u="1"/>
        <s v="USTA Pacific Northwest   " u="1"/>
        <s v="Subaru" u="1"/>
        <s v="Barney Ebsworth" u="1"/>
        <s v="Silent Aire Manufacturing, Inc" u="1"/>
        <s v="Warsaw R-IX School District" u="1"/>
        <s v="Criteria Properties" u="1"/>
        <s v="Beta Theta Pi" u="1"/>
        <s v="Bethlehem Lutheran Church" u="1"/>
        <s v="Goldfinch Bros Inc       " u="1"/>
        <s v="King County Roads" u="1"/>
        <s v="SCHUCHART CORP           " u="1"/>
        <s v="Shanghai Gardens         " u="1"/>
        <s v="BlackRock                " u="1"/>
        <s v="Fentress Architects      " u="1"/>
        <s v="Laser Processing Technolo" u="1"/>
        <s v="Newport Corporate Center " u="1"/>
        <s v="Sellen Construction      " u="1"/>
        <s v="City of Spokane Fleet Svc" u="1"/>
        <s v="Emeritus of West Seattle" u="1"/>
        <s v="Athena Weston School District" u="1"/>
        <s v="SIR Seattle LLC" u="1"/>
        <s v="Embassy Suites Hotel" u="1"/>
        <s v="King County Dept. of Fina" u="1"/>
        <s v="Seattle City Light" u="1"/>
        <s v="FRESHVUE, LLC" u="1"/>
        <s v="Emerald Heights Retiremen" u="1"/>
        <s v="Michaelidis              " u="1"/>
        <s v="Capital One              " u="1"/>
        <s v="St Madeleine Sophie Church" u="1"/>
        <s v="Arbor Place Residential T" u="1"/>
        <s v="TW Clark" u="1"/>
        <s v="St Michelle Wine Estates" u="1"/>
        <s v="Depaul Treatment Center - Adult Program" u="1"/>
        <s v="Northwest Container Servi" u="1"/>
        <s v="Alcoa" u="1"/>
        <s v="Traveler Montlake" u="1"/>
        <s v="Stephen C Grey           " u="1"/>
        <s v="West Sound Orthopaedics  " u="1"/>
        <s v="Brewster School District " u="1"/>
        <s v="Walker Construction      " u="1"/>
        <s v="Metropolitan Contracting" u="1"/>
        <s v="Deering Management Group " u="1"/>
        <s v="Capital One" u="1"/>
        <s v="LINX                     " u="1"/>
        <s v="Stanley Security Solutions" u="1"/>
        <s v="SAKE ONE" u="1"/>
        <s v="EDC Group" u="1"/>
        <s v="Peggy Baca" u="1"/>
        <s v="Commerce Waterside       " u="1"/>
        <s v="Harvard Market - HOA" u="1"/>
        <s v="Kidder Mathews - BPCC    " u="1"/>
        <s v="Sushi Kudasai            " u="1"/>
        <s v="Chaffee R-II School Distr" u="1"/>
        <s v="Montana State University " u="1"/>
        <s v="ID Experts" u="1"/>
        <s v="SwedishTallman Building" u="1"/>
        <s v="GSA Public Buildings Svc " u="1"/>
        <s v="First Insight" u="1"/>
        <s v="BGCKC                    " u="1"/>
        <s v="Tricon Building Solutions Inc" u="1"/>
        <s v="Lister Chain &amp; Forge Inc." u="1"/>
        <s v="Weyerhaeuser             " u="1"/>
        <s v="Bellevue Pacific Tower OFC" u="1"/>
        <s v="Walter Berninger" u="1"/>
        <s v="URS Corporation          " u="1"/>
        <s v="Uptown Espresso          " u="1"/>
        <s v="Advanced Eye Care        " u="1"/>
        <s v="KPFF Consulting Engineers" u="1"/>
        <s v="Eco District LLC" u="1"/>
        <s v="Arden Realty             " u="1"/>
        <s v="Hensel Phelps - Virginia " u="1"/>
        <s v="Gordon Biersch" u="1"/>
        <s v="Los Angeles Unified Schoo" u="1"/>
        <s v="City of Wenatchee        " u="1"/>
        <s v="City of Woodville        " u="1"/>
        <s v="Wayzata School District" u="1"/>
        <s v="Spokane Public Facilites " u="1"/>
        <s v="Roberson Building Company" u="1"/>
        <s v="Watermark LLC            " u="1"/>
        <s v="Umpqua Bank" u="1"/>
        <s v="Cushman &amp; Wakefield      " u="1"/>
        <s v="John Jacob " u="1"/>
        <s v="Iris Connect Inc" u="1"/>
        <s v="Phoenix Envrironmental   " u="1"/>
        <s v="Kathy Schroeder          " u="1"/>
        <s v="KTR Management Services" u="1"/>
        <s v="Equity Residential       " u="1"/>
        <s v="Kappes Miller Mgmt LLC   " u="1"/>
        <s v="YRC                      " u="1"/>
        <s v="Braseth Construction" u="1"/>
        <s v="David Barton Gym" u="1"/>
        <s v="Iron Bridge, LLC" u="1"/>
        <s v="The Boulevard            " u="1"/>
        <s v="Infosys Ltd" u="1"/>
        <s v="Physio-Control Internatio" u="1"/>
        <s v="Omnicare                 " u="1"/>
        <s v="McKinstry Essention LLC" u="1"/>
        <s v="FareStart" u="1"/>
        <s v="eBay, McKinstry as agent of" u="1"/>
        <s v="LBA Realty BPCC-R2364    " u="1"/>
        <s v="Ciais, Eric" u="1"/>
        <s v="Flying Heritage Collection" u="1"/>
        <s v="Matrix Service Inc" u="1"/>
        <s v="The Tower at Centennial  " u="1"/>
        <s v="Views at Madison         " u="1"/>
        <s v="Harland Financial Solutions" u="1"/>
        <s v="Cedarstrand Properties LLC" u="1"/>
        <s v="CBRE - Microsoft" u="1"/>
        <s v="Escala - Desiree Merulli" u="1"/>
        <s v="Builders Alliance        " u="1"/>
        <s v="The Blume Company        " u="1"/>
        <s v="The Weitz Company        " u="1"/>
        <s v="SuperValue" u="1"/>
        <s v="Gtech Corporation" u="1"/>
        <s v="Aztec Systems Inc" u="1"/>
        <s v="Kevin Reid               " u="1"/>
        <s v="Westby School District   " u="1"/>
        <s v="Charter Construction" u="1"/>
        <s v="Franciscan Health Systems" u="1"/>
        <s v="Guitar Center" u="1"/>
        <s v="Bomarc c/o CBRE" u="1"/>
        <s v="King County Facilities Mg" u="1"/>
        <s v="Burr Computer Environments Inc" u="1"/>
        <s v="Constant Power Technologies" u="1"/>
        <s v="CNC Communications" u="1"/>
        <s v="OHSU Ctr For Health &amp; Healing" u="1"/>
        <s v="Town of Fraser" u="1"/>
        <s v="Lake Fenwick Estates" u="1"/>
        <s v="Jo Anne Hacker" u="1"/>
        <s v="Iridio                   " u="1"/>
        <s v="Tiger Mountain Services" u="1"/>
        <s v="Korry Electronics        " u="1"/>
        <s v="LOCKHAVEN MARINA         " u="1"/>
        <s v="School District of Omro  " u="1"/>
        <s v="Fiserv" u="1"/>
        <s v="JPO" u="1"/>
        <s v="Seattle Amtrak/Aramark Co" u="1"/>
        <s v="Pattison General Contract" u="1"/>
        <s v="Star Rentals             " u="1"/>
        <s v="Boeing Shared Services Group - Puget Sound" u="1"/>
        <s v="II Terrazzo Carmine " u="1"/>
        <s v="Summit Public Schools Was" u="1"/>
        <s v="LEASE CRUTCHER LEWIS" u="1"/>
        <s v="Universal Avionics       " u="1"/>
        <s v="Ferrandino &amp; Sons Inc" u="1"/>
        <s v="Mowat Construction       " u="1"/>
        <s v="Convergint Technologies" u="1"/>
        <s v="Aronson Security Group   " u="1"/>
        <s v="Teach for America Inc    " u="1"/>
        <s v="Slayden Construction Group" u="1"/>
        <s v="Amano McGann Inc         " u="1"/>
        <s v="Blueacre Seafood Restaura" u="1"/>
        <s v="Meals on Wheels People" u="1"/>
        <s v="Downtown Properties, DP Management Services" u="1"/>
        <s v="WB Ent./ Games Monolith" u="1"/>
        <s v="Taylor Condominiums      " u="1"/>
        <s v="Bouten Construction      " u="1"/>
        <s v="Emerald Heights Retirement" u="1"/>
        <s v="Lane County Courthouse   " u="1"/>
        <s v="Presidio                 " u="1"/>
        <s v="RMR LLC" u="1"/>
        <s v="Bolt Modern Storage/QA" u="1"/>
        <s v="Haskell Consolidated Independent School District" u="1"/>
        <s v="Internap" u="1"/>
        <s v="7 Hills Queen Anne Apt" u="1"/>
        <s v="Spiration                " u="1"/>
        <s v="Jones Lang LaSalle" u="1"/>
        <s v="Spokane Catholic Charitie" u="1"/>
        <s v="First Capital Partners Lt" u="1"/>
        <s v="Howard S Wright " u="1"/>
        <s v="Woodinville Fire &amp; Rescue" u="1"/>
        <s v="Snohomish Health District" u="1"/>
        <s v="Snohomish School District" u="1"/>
        <s v="Bayley Construction" u="1"/>
        <s v="SmartLink LLC" u="1"/>
        <s v="CXOWARE, Inc" u="1"/>
        <s v="Ash Awad                 " u="1"/>
        <s v="Ash Grove Cement         " u="1"/>
        <s v="Paradigm Venture Group   " u="1"/>
        <s v="Naches School District   " u="1"/>
        <s v="Zach Tellez" u="1"/>
        <s v="Ingersoll Rand           " u="1"/>
        <s v="University of Portland" u="1"/>
        <s v="Zodiac Aerospace         " u="1"/>
        <s v="Rockwood Clinic          " u="1"/>
        <s v="National Native American Construction" u="1"/>
        <s v="Kensington Investments" u="1"/>
        <s v="Culp Construction Company" u="1"/>
        <s v="City of Issaquah" u="1"/>
        <s v="Lydig &amp; McKinstry LLC    " u="1"/>
        <s v="ALASKA AIRLINES" u="1"/>
        <s v="Noel House               " u="1"/>
        <s v="Microsoft PPI" u="1"/>
        <s v="Elite Construction Services" u="1"/>
        <s v="Cigna                    " u="1"/>
        <s v="FYI Properties           " u="1"/>
        <s v="Targa Real Estate        " u="1"/>
        <s v="Internap                 " u="1"/>
        <s v="CBRE                     " u="1"/>
        <s v="Chevron                  " u="1"/>
        <s v="Issaquah School District " u="1"/>
        <s v="Wandermere Golf Course   " u="1"/>
        <s v="Oakhurst Holdings LLC" u="1"/>
        <s v="Ceva Freight Management" u="1"/>
        <s v="Washington CTS           " u="1"/>
        <s v="Multicare Health System" u="1"/>
        <s v="Westwood Financial Court" u="1"/>
        <s v="Oregon Military Departmen" u="1"/>
        <s v="Somerset" u="1"/>
        <s v="Boise Paper" u="1"/>
        <s v="Cummins Northwest, Inc" u="1"/>
        <s v="Downstream" u="1"/>
        <s v="Seattle Childrens Hospita" u="1"/>
        <s v="Shell Lubricants" u="1"/>
        <s v="BT - Aaron Bloch" u="1"/>
        <s v="Statements Tile          " u="1"/>
        <s v="Midtown Chiropractic     " u="1"/>
        <s v="Fort Lewis College       " u="1"/>
        <s v="Edmonds Center for OutPatient Surgery" u="1"/>
        <s v="San Francisco Public Utilities Commision" u="1"/>
        <s v="Terry Avenue Restaurants " u="1"/>
        <s v="Andkloth" u="1"/>
        <s v="Seattle Children's Resear" u="1"/>
        <s v="CBRE - 505 1st Ave Bldg  " u="1"/>
        <s v="Milton-Freewater Unified School District" u="1"/>
        <s v="KELLY HANI               " u="1"/>
        <s v="Western Peterbilt" u="1"/>
        <s v="Consolidated Fire Protection" u="1"/>
        <s v="XO Communications" u="1"/>
        <s v="Unico Properties         " u="1"/>
        <s v="Seattle Marriott Waterfront" u="1"/>
        <s v="BP WEST COAST PRODUCTS LL" u="1"/>
        <s v="FlightSafety International" u="1"/>
        <s v="Cascade School District" u="1"/>
        <s v="Allied Fire &amp; Safety     " u="1"/>
        <s v="COFFMAN EXCAVATION       " u="1"/>
        <s v="Townsend School District " u="1"/>
        <s v="GSA PBS (8PSB)           " u="1"/>
        <s v="Brooklake Community Churc" u="1"/>
        <s v="Skanska USA Bldg WA Division" u="1"/>
        <s v="Salvation Army Renton Foo" u="1"/>
        <s v="John Hui                 " u="1"/>
        <s v="Johnson Controls         " u="1"/>
        <s v="Johnston Supply          " u="1"/>
        <s v="DP INC                   " u="1"/>
        <s v="Cuadra #32" u="1"/>
        <s v="Brookdale " u="1"/>
        <s v="Integrated" u="1"/>
        <s v="Frito Lay" u="1"/>
        <s v="Tahoma School District" u="1"/>
        <s v="Neenan Company" u="1"/>
        <s v="Johnson Project Solutions" u="1"/>
        <s v="Revo 225 Condominiums" u="1"/>
        <s v="Snyder Holdings LLC      " u="1"/>
        <s v="Turner Construction Co   " u="1"/>
        <s v="Subway at Komo Plaza" u="1"/>
        <s v="JOHN PIETROMONACO" u="1"/>
        <s v="SUNSET WEST CONDOS       " u="1"/>
        <s v="Costco Sumner Depot #285" u="1"/>
        <s v="K&amp;K Construction LLC" u="1"/>
        <s v="Legacy Health System" u="1"/>
        <s v="Apollo Holdings LLC/CBRE " u="1"/>
        <s v="Pacific Northwest Researc" u="1"/>
        <s v="Holder Construction Group" u="1"/>
        <s v="Mortenson Construction" u="1"/>
        <s v="Emergent Product Developement Seattle" u="1"/>
        <s v="University Plaza Condominiums" u="1"/>
        <s v="Metro 112 Apartments" u="1"/>
        <s v="Jefferson County Public L" u="1"/>
        <s v="Islamic School of Seattle" u="1"/>
        <s v="Western Partitions       " u="1"/>
        <s v="Town &amp; Country Markets, I" u="1"/>
        <s v="Boulder Valley School District" u="1"/>
        <s v="Darigold Rainier Ave Plant #200" u="1"/>
        <s v="C TRAN                   " u="1"/>
        <s v="West Seattle Health Club" u="1"/>
        <s v="Whitewater Unified School" u="1"/>
        <s v="OMIC USA Inc" u="1"/>
        <s v="Nu-Torque" u="1"/>
        <s v="Evergreen Park &amp; Recreati" u="1"/>
        <s v="Katharine's Place Apartme" u="1"/>
        <s v="NAC Architecture" u="1"/>
        <s v="Elders Wellness Center   " u="1"/>
        <s v="Balfour Beatty Construction" u="1"/>
        <s v="Convergint" u="1"/>
        <s v="Elevate Construction" u="1"/>
        <s v="Clearwater &amp; Star Apartme" u="1"/>
        <s v="Charbonneau Apartments   " u="1"/>
        <s v="Dyno Nobel, Inc." u="1"/>
        <s v="Morrison Child &amp; Family Services" u="1"/>
        <s v="GREF 111 S Jackson, LP" u="1"/>
        <s v="Lincoln Moving &amp; Storage " u="1"/>
        <s v="Portland State University" u="1"/>
        <s v="Enclos corp" u="1"/>
        <s v="Provail Office           " u="1"/>
        <s v="IDD AEROSPACE CO.        " u="1"/>
        <s v="Stage Left Properties" u="1"/>
        <s v="State of Wisconsin       " u="1"/>
        <s v="Providence Distribution O" u="1"/>
        <s v="Andersen Construction    " u="1"/>
        <s v="Raymond James &amp; Associate" u="1"/>
        <s v="Amway" u="1"/>
        <s v="United Marketing Inc     " u="1"/>
        <s v="Northshore School Distric" u="1"/>
        <s v="Kapstone" u="1"/>
        <s v="Oregon Transfer          " u="1"/>
        <s v="520 Pike Tower" u="1"/>
        <s v="Cascade Behavioral Health" u="1"/>
        <s v="LBA Realty BPCC-R2363" u="1"/>
        <s v="University of Iowa" u="1"/>
        <s v="Rolling Hills Memorial Ho" u="1"/>
        <s v="KOP Construction         " u="1"/>
        <s v="City of Spokane" u="1"/>
        <s v="Rally Marketing Group Inc" u="1"/>
        <s v="PUGET SOUND ENERGY       " u="1"/>
        <s v="iLink Systems Inc        " u="1"/>
        <s v="Siemens                  " u="1"/>
        <s v="Crane Electronics, Inc.  " u="1"/>
        <s v="Rip City Management" u="1"/>
        <s v="Morton School District" u="1"/>
        <s v="Nila Ruslen" u="1"/>
        <s v="American Steel           " u="1"/>
        <s v="JR Abbott Construction   " u="1"/>
        <s v="Pacific Gas &amp; Electric (P" u="1"/>
        <s v="Lori Musgrave" u="1"/>
        <s v="Florence Carlton School District" u="1"/>
        <s v="TURNER CONSTRUCTION" u="1"/>
        <s v="ARAKAWA                  " u="1"/>
        <s v="**Do Not Use** Novo Nordisk" u="1"/>
        <s v="Valley Medical Center    " u="1"/>
        <s v="Fishfader Properties" u="1"/>
        <s v="Trane - Ingersoll Rand" u="1"/>
        <s v="Lakha Properties - Kirkland LLC" u="1"/>
        <s v="Chelan County Facility Maintenance" u="1"/>
        <s v="Duwamish River Cleanup Co" u="1"/>
        <s v="Applied Industrial Technologies" u="1"/>
        <s v="Newmark Grubb Knight Frank Management" u="1"/>
        <s v="Campagne                 " u="1"/>
        <s v="Applied Products Inc." u="1"/>
        <s v="DavidBarton Gym" u="1"/>
        <s v="Benaroya Hall            " u="1"/>
        <s v="Kiro Radio               " u="1"/>
        <s v="Boeing - Gresham Plant" u="1"/>
        <s v="PCL Construction Resource" u="1"/>
        <s v="King County International Airport" u="1"/>
        <s v="US Bank Corp" u="1"/>
        <s v="VERN PLATT RENTALS       " u="1"/>
        <s v="History Colorado Center  " u="1"/>
        <s v="Sustainable Media Group L" u="1"/>
        <s v="Walgreen Co. Facilities" u="1"/>
        <s v="Eastlake Center I" u="1"/>
        <s v="Hines Interests Ltd Partn" u="1"/>
        <s v="Pomona College           " u="1"/>
        <s v="ViaWest" u="1"/>
        <s v="ATK Space Systems Inc    " u="1"/>
        <s v="GTS Interior Supply      " u="1"/>
        <s v="Elite Commercial Contracting" u="1"/>
        <s v="Compro Business Services " u="1"/>
        <s v="Tualatin Hills Park &amp; Rec" u="1"/>
        <s v="SNC Lavalin Constructors " u="1"/>
        <s v="Warrenton Hammond School District" u="1"/>
        <s v="IMS Health" u="1"/>
        <s v="Reading Partners" u="1"/>
        <s v="FAA Western Logistics Ser" u="1"/>
        <s v="Front Panel Express      " u="1"/>
        <s v="Enumclaw School District " u="1"/>
        <s v="Pendleton" u="1"/>
        <s v="World Vision Inc" u="1"/>
        <s v="WSU Capital Planning &amp; De" u="1"/>
        <s v="Cardinal Health" u="1"/>
        <s v="Logo's Equity Partners, L" u="1"/>
        <s v="Healthcare Realty Trust" u="1"/>
        <s v="PI Beta Phi - WA Alpha   " u="1"/>
        <s v="Bay Vista Building Assoc " u="1"/>
        <s v="Republic Services        " u="1"/>
        <s v="WebMD                    " u="1"/>
        <s v="TSD Tukwila School District" u="1"/>
        <s v="Brown &amp; Caldwell Consulta" u="1"/>
        <s v="Westlake Union Center" u="1"/>
        <s v="Forest View Transitional HC" u="1"/>
        <s v="BT - Carol Zhang" u="1"/>
        <s v="United States Post Office" u="1"/>
        <s v="NEC America              " u="1"/>
        <s v="Seattle Art Museum" u="1"/>
        <s v="City Investors V LLC" u="1"/>
        <s v="LEV Foundation           " u="1"/>
        <s v="University of Colorado Bo" u="1"/>
        <s v="Education Reform Now     " u="1"/>
        <s v="CBRE" u="1"/>
        <s v="Sybant Construction" u="1"/>
        <s v="Avista Corporation       " u="1"/>
        <s v="Lydig Construction       " u="1"/>
        <s v="Lake Shore Athletic Club " u="1"/>
        <s v="Thorp School District    " u="1"/>
        <s v="LEG PTRS I SEATL 2nd LLC / SteelWave" u="1"/>
        <s v="Sharp Labs of America" u="1"/>
        <s v="Performance Warehouse    " u="1"/>
        <s v="Cherokee Construction Services" u="1"/>
        <s v="Whitworth University     " u="1"/>
        <s v="Theraclone Sciences Inc." u="1"/>
        <s v="Property Concepts        " u="1"/>
        <s v="Riverdale School District" u="1"/>
        <s v="Riverside School District" u="1"/>
        <s v="Escala - Michael &amp; Faun Yin" u="1"/>
        <s v="One Pacific Tower" u="1"/>
        <s v="New Beginnings           " u="1"/>
        <s v="First Citizen Bank" u="1"/>
        <s v="STATE OF WASHINGTON      " u="1"/>
        <s v="Cushman &amp; Wakefield Inc." u="1"/>
        <s v="Weyerhaeuser" u="1"/>
        <s v="Dept of Military Affairs " u="1"/>
        <s v="BioControl Systems" u="1"/>
        <s v="Northwest PBIS Network In" u="1"/>
        <s v="Equity Office" u="1"/>
        <s v="The Queen Anne Apartment Collection" u="1"/>
        <s v="Energy Trust of Oregon   " u="1"/>
        <s v="Morrow County School District" u="1"/>
        <s v="Icicle Seafoods Inc" u="1"/>
        <s v="Eastlake Center II" u="1"/>
        <s v="BRE WA Office Owner LLC" u="1"/>
        <s v="Atlantic Street Center" u="1"/>
        <s v="Ginno Construction Co    " u="1"/>
        <s v="DS-IQ" u="1"/>
        <s v="TMT Development          " u="1"/>
        <s v="Carpita Construction" u="1"/>
        <s v="Mt Olivet Baptist Church" u="1"/>
        <s v="Bear Creek Corp Park     " u="1"/>
        <s v="City Place V, SEA 29 Ariz" u="1"/>
        <s v="5th &amp; Pine, INVESCO      " u="1"/>
        <s v="Franklin Pierce Schools" u="1"/>
        <s v="Quorum Property Management" u="1"/>
        <s v="LBA Realty BPCC-R2365    " u="1"/>
        <s v="Tulalip Resort           " u="1"/>
        <s v="Dell, Inc" u="1"/>
        <s v="Vale School District #84" u="1"/>
        <s v="Snohomish County Fire Dis" u="1"/>
        <s v="The Finerie" u="1"/>
        <s v="Escala - Ed Andrews" u="1"/>
        <s v="Vanir Construction Manage" u="1"/>
        <s v="3100 Bucklin Hill Bldg   " u="1"/>
        <s v="Evergreen Court Retirement" u="1"/>
        <s v="George Suddock           " u="1"/>
        <s v="Gerrish Hall             " u="1"/>
        <s v="David Evans &amp; Associates " u="1"/>
        <s v="Microsoft Cheyenne Transition" u="1"/>
        <s v="Howard S Wright Const Co " u="1"/>
        <s v="Lafarge                  " u="1"/>
        <s v="Lakeside Industries      " u="1"/>
        <s v="Barclay Realty Management" u="1"/>
        <s v="WBRF 3                   " u="1"/>
        <s v="LBA Realty BPCC-R2361    " u="1"/>
        <s v="Intergate Quincy LLC" u="1"/>
        <s v="Business Property Development" u="1"/>
        <s v="Brown County" u="1"/>
        <s v="Simplex Grinnell         " u="1"/>
        <s v="GC Columbia LLC " u="1"/>
        <s v="McKay Healthcare         " u="1"/>
        <s v="CaISTRS                  " u="1"/>
        <s v="Kilroy Realty LP         " u="1"/>
        <s v="Office Max               " u="1"/>
        <s v="Arden Realty Inc Redmond East 2075J" u="1"/>
        <s v="YWCA                     " u="1"/>
        <s v="Goodhue County           " u="1"/>
        <s v="Goodman Networks         " u="1"/>
        <s v="PorterCare Adventist Health System" u="1"/>
        <s v="Cintas                   " u="1"/>
        <s v="Swedish Medical Center" u="1"/>
        <s v="ThyssenKrupp Elevator    " u="1"/>
        <s v="DePaul Treatment Center" u="1"/>
        <s v="CCI Wenatchee Data Center" u="1"/>
        <s v="MICROSOFT                " u="1"/>
        <s v="Harbor Steps             " u="1"/>
        <s v="Harbor West              " u="1"/>
        <s v="Costco Wholesale Trading " u="1"/>
        <s v="The Ridge at Riverview Homeowners Association" u="1"/>
        <s v="Wells Fargo" u="1"/>
        <s v="Magdeleine LaFerte       " u="1"/>
        <s v="AFL-CIO                  " u="1"/>
        <s v="BP Oil                   " u="1"/>
        <s v="Bed Bath &amp; Beyond " u="1"/>
        <s v="Novo Nordisk" u="1"/>
        <s v="Ridgefield School Distric" u="1"/>
        <s v="US Coast Guard           " u="1"/>
        <s v="Quanex Building Products Corp" u="1"/>
        <s v="CertainTeed Gypsum" u="1"/>
        <s v="Chiles &amp; Company Inc     " u="1"/>
        <s v="Lafarge Lab" u="1"/>
        <s v="CenturyLink              " u="1"/>
        <s v="Columbia City Station Apartments/Mercy Services Corporation" u="1"/>
        <s v="UW Payables Administratio" u="1"/>
        <s v="University of Arizona" u="1"/>
        <s v="PPR Washington Square LLC" u="1"/>
        <s v="University Place School D" u="1"/>
        <s v="UPI Smith Tower LLC" u="1"/>
        <s v="2201 Enso Venture LLC" u="1"/>
        <s v="Accenture USA            " u="1"/>
        <s v="Dr  Bart Robison         " u="1"/>
        <s v="University Village" u="1"/>
        <s v="Blanton Turner           " u="1"/>
        <s v="Maneki Restaurant        " u="1"/>
        <s v="Weyerhaeuser Technology Center (WTC)" u="1"/>
        <s v="International Union of Operating Engineers" u="1"/>
        <s v="Lynette Kenoyer          " u="1"/>
        <s v="ATC                      " u="1"/>
        <s v="VFS Fire &amp; Security Services" u="1"/>
        <s v="Bastyr Natural Health    " u="1"/>
        <s v="Lakeshore Corporation    " u="1"/>
        <s v="Avista Utilities" u="1"/>
        <s v="Turner Building" u="1"/>
        <s v="John &amp; Diane Sabey" u="1"/>
        <s v="AGC Building &amp; Marina    " u="1"/>
        <s v="Parallels                " u="1"/>
        <s v="DirecTV                  " u="1"/>
        <s v="METRO                    " u="1"/>
        <s v="Frye Art Museum" u="1"/>
        <s v="GRE 509 Olive LLC " u="1"/>
        <s v="Snoqualmie Casino        " u="1"/>
        <s v="Terex Global Business Ser" u="1"/>
        <s v="Yahoo                    " u="1"/>
        <s v="Fifth &amp; Pacific Companies" u="1"/>
        <s v="State of Washington" u="1"/>
        <s v="OLT - Stella Chien" u="1"/>
        <s v="Circle Point Homes       " u="1"/>
        <s v="Steve Lloyd" u="1"/>
        <s v="John J Kirlin, Inc." u="1"/>
        <s v="WBRP 1" u="1"/>
        <s v="Sabey Construction Inc." u="1"/>
        <s v="Fontana School District  " u="1"/>
        <s v="Vandervert Construction, Inc" u="1"/>
        <s v="LHB, Inc                 " u="1"/>
        <s v="Precision Construction   " u="1"/>
        <s v="Elliott Bay Marina Inc" u="1"/>
        <s v="Proliance Highlands      " u="1"/>
        <s v="Airgas Acetylene Plant" u="1"/>
        <s v="Colorado School of Mines " u="1"/>
        <s v="Bake's Place             " u="1"/>
        <s v="Boylston Condo Associatio" u="1"/>
        <s v="Furhaven Pet Products    " u="1"/>
        <s v="M Financial Group" u="1"/>
        <s v="Swedish Edmonds          " u="1"/>
        <s v="Providence Health &amp; Servi" u="1"/>
        <s v="LabCorp                  " u="1"/>
        <s v="City of Kent Public Works" u="1"/>
        <s v="Facilities Partners Inc" u="1"/>
        <s v="Russell Construction     " u="1"/>
        <s v="Inland Northwest Health Services" u="1"/>
        <s v="Pacard Humanities Institu" u="1"/>
        <s v="Environmental Services #1" u="1"/>
        <s v="Lenovo (United States) Inc" u="1"/>
        <s v="Jubilant HollisterStier Laboratories LLC" u="1"/>
        <s v="428 Westlake LLC         " u="1"/>
        <s v="ETC                      " u="1"/>
        <s v="EVERGREEN ANALYTICAL     " u="1"/>
        <s v="BNBuilders" u="1"/>
        <s v="TCS - Annapolis MD       " u="1"/>
        <s v="Blakeslee Properties, LLC" u="1"/>
        <s v="Comcast" u="1"/>
        <s v="Hines Interest           " u="1"/>
        <s v="ServPro" u="1"/>
        <s v="Longfellow Run Condos" u="1"/>
        <s v="Sears                    " u="1"/>
        <s v="SEARS OVERLAKE           " u="1"/>
        <s v="JAR Investments" u="1"/>
        <s v="First Citizens Bank" u="1"/>
        <s v="Ross Nakanishi           " u="1"/>
        <s v="Menashe Properties       " u="1"/>
        <s v="Ikea" u="1"/>
        <s v="Panasonic Avionics Corporation" u="1"/>
        <s v="Wilson, Sonsini, Goodrich &amp; Rosati" u="1"/>
        <s v="New Breed Logistics Inc  " u="1"/>
        <s v="MODEL CUSTOMER           " u="1"/>
        <s v="Strickland Trust" u="1"/>
        <s v="Creede School District" u="1"/>
        <s v="Kitto Sushi              " u="1"/>
        <s v="Puget Sound Pipe         " u="1"/>
        <s v="Team Construction        " u="1"/>
        <s v="Unimark Construction Grou" u="1"/>
        <s v="Facebook                 " u="1"/>
        <s v="Sullivan's Steak House   " u="1"/>
        <s v="Aberdeen City Hall" u="1"/>
        <s v="Marine Systems Inc" u="1"/>
        <s v="Leone &amp; Keeble Inc       " u="1"/>
        <s v="BPM HOA Management" u="1"/>
        <s v="Thunder Mountain Middle School" u="1"/>
        <s v="Dave Hansen              " u="1"/>
        <s v="Union Pacific Railroad   " u="1"/>
        <s v="United States Postal Serv" u="1"/>
        <s v="Butte School District    " u="1"/>
        <s v="Escala - Ann Colowick" u="1"/>
        <s v="Puppet Labs" u="1"/>
        <s v="City of Auburn City Hall " u="1"/>
        <s v="SCIDPDA" u="1"/>
        <s v="Spokane School District #" u="1"/>
        <s v="Wildfire Taqueria" u="1"/>
        <s v="JE Dunn Construction" u="1"/>
        <s v="Broadmoor Golf Club      " u="1"/>
        <s v="Port of Quincy           " u="1"/>
        <s v="Colliers International" u="1"/>
        <s v="Greenfire Campus" u="1"/>
        <s v="Schuchart-Dow" u="1"/>
        <s v="Pierce County Fire Dist 5" u="1"/>
        <s v="POTLATCH CORPORATION" u="1"/>
        <s v="Seattle Public Library   " u="1"/>
        <s v="Seattle Housing Authority" u="1"/>
        <s v="CertainTeed Gypsum &amp; Ceil" u="1"/>
        <s v="Clark Fork Valley Hospita" u="1"/>
        <s v="Ochiltree General Hospita" u="1"/>
        <s v="Giddens Industries       " u="1"/>
        <s v="Big Fish Games, Inc" u="1"/>
        <s v="Montana Department of Tra" u="1"/>
        <s v="Pat Pancoast" u="1"/>
        <s v="LANDesk                  " u="1"/>
        <s v="PUGET SOUND ENERGY" u="1"/>
        <s v="Paccar - PPD" u="1"/>
        <s v="Highline Medical Center" u="1"/>
        <s v="901 Fifth Avenue         " u="1"/>
        <s v="Elevation Apartments     " u="1"/>
        <s v="IES Communications       " u="1"/>
        <s v="University of Montana    " u="1"/>
        <s v="Shorenstein Realty Svcs, LP" u="1"/>
        <s v="Orangefield ISD          " u="1"/>
        <s v="Redguard" u="1"/>
        <s v="University of Idaho" u="1"/>
        <s v="Jefferson Tower LLC      " u="1"/>
        <s v="Rafn Construction        " u="1"/>
        <s v="Gateway Construction     " u="1"/>
        <s v="Tishman Speyer" u="1"/>
        <s v="St Clair R-XIII School District" u="1"/>
        <s v="Grand Image" u="1"/>
        <s v="Arch Telecom, Inc        " u="1"/>
        <s v="DAVID ALLEN (MCKINSTRY)  " u="1"/>
        <s v="Chmura Economics &amp; Analytics LLC" u="1"/>
        <s v="Blew's Construction      " u="1"/>
        <s v="Whispering Pines Senior V" u="1"/>
        <s v="Laurel Public Schools    " u="1"/>
        <s v="Marten Transport         " u="1"/>
        <s v="Hangar Holdings" u="1"/>
        <s v="Greater Albany Public Sch" u="1"/>
        <s v="MASTER WHOLESALE         " u="1"/>
        <s v="BT - Wu Chang-Hui" u="1"/>
        <s v="Usher Properties         " u="1"/>
        <s v="Bellevue College" u="1"/>
        <s v="Republic Mortgage" u="1"/>
        <s v="Ashton Development       " u="1"/>
        <s v="Lifespan Biosciences" u="1"/>
        <s v="WOMENS UNIVERSITY CLUB   " u="1"/>
        <s v="City of Happy Valley     " u="1"/>
        <s v="Something Silver         " u="1"/>
        <s v="Telgian Corporation" u="1"/>
        <s v="Shiros Sushi" u="1"/>
        <s v="McMenamins Pub           " u="1"/>
        <s v="Columbia Center Property LLC" u="1"/>
        <s v="Altamira                 " u="1"/>
        <s v="Greenbridge Properties" u="1"/>
        <s v="Seattle Glass            " u="1"/>
        <s v="Seattle Mariners         " u="1"/>
        <s v="BioMed Realty Trust Inc" u="1"/>
        <s v="Pioneer Place Limited Partnership" u="1"/>
        <s v="Clearwater Paper Corporation" u="1"/>
        <s v="GLY Construction         " u="1"/>
        <s v="Clackamas Federal Credit Union" u="1"/>
        <s v="Ferguson                 " u="1"/>
        <s v="UWSOM Bldg D" u="1"/>
        <s v="Meredith Corporation     " u="1"/>
        <s v="Quantum Management Servic" u="1"/>
        <s v="Northwestern Energy      " u="1"/>
        <s v="Tesoro Companies Inc" u="1"/>
        <s v="Escala" u="1"/>
        <s v="Poudre School District   " u="1"/>
        <s v="Suncadia HOA LMCA" u="1"/>
        <s v="36TH &amp; GRAHAM ST ASSOC   " u="1"/>
        <s v="EverBank                 " u="1"/>
        <s v="Evergreen Health         " u="1"/>
        <s v="Trident Seafoods Pier 91 " u="1"/>
        <s v="Broadway Market Properties - Retail" u="1"/>
        <s v="10000 Meydenbauer HOA" u="1"/>
        <s v="Walt, Tieder, Hoffar, Fit" u="1"/>
        <s v="SGL Automotive Carbon Fibers" u="1"/>
        <s v="CenterCal Properties, LLC" u="1"/>
        <s v="Holst Architecture       " u="1"/>
        <s v="Montezuma Cortez School D" u="1"/>
        <s v="Buckle                   " u="1"/>
        <s v="UFCW Local 21" u="1"/>
        <s v="Francis Mahon Deaconess H" u="1"/>
        <s v="Row House Cafe" u="1"/>
        <s v="Spokane Eye Clinic - Sout" u="1"/>
        <s v="iShip                    " u="1"/>
        <s v="Gethsemane Cemetery      " u="1"/>
        <s v="Digipen                  " u="1"/>
        <s v="Digital Realty           " u="1"/>
        <s v="Riverpark Square" u="1"/>
        <s v="NRS                      " u="1"/>
        <s v="Ronald McDonald House" u="1"/>
        <s v="TEAM 2 LLC, dba H-Source" u="1"/>
        <s v="Kindercare Data Center   " u="1"/>
        <s v="Julie Drinkward          " u="1"/>
        <s v="Arrow Point HOA" u="1"/>
        <s v="Starbucks" u="1"/>
        <s v="Seattle Country Day Schoo" u="1"/>
        <s v="Sellen Construction Co" u="1"/>
        <s v="Garner Property Managemen" u="1"/>
        <s v="Uxiliary LLC" u="1"/>
        <s v="McMenamins Edgefield     " u="1"/>
        <s v="Pape Machinery           " u="1"/>
        <s v="Equinix Services Inc     " u="1"/>
        <s v="Limited Brands Invoice Processing Center" u="1"/>
        <s v="Video Only               " u="1"/>
        <s v="Schneider Electric IT MCS" u="1"/>
        <s v="Thurston County DES" u="1"/>
        <s v="City of Aspen            " u="1"/>
        <s v="City of Bethany          " u="1"/>
        <s v="City of Boulder          " u="1"/>
        <s v="City of Bozeman          " u="1"/>
        <s v="City of Brewster         " u="1"/>
        <s v="City of Golden           " u="1"/>
        <s v="City of Longmont         " u="1"/>
        <s v="City of New Hope         " u="1"/>
        <s v="City of Oxnard           " u="1"/>
        <s v="City of Redmond          " u="1"/>
        <s v="City of Seattle          " u="1"/>
        <s v="City of Tacoma           " u="1"/>
        <s v="City of Tukwila          " u="1"/>
        <s v="City View                " u="1"/>
        <s v="Greencupboards" u="1"/>
        <s v="Saxton Bradley           " u="1"/>
        <s v="UPS Oasis Supply Corp    " u="1"/>
        <s v="SCHUCHART CORPORATION" u="1"/>
        <s v="BAB Associates PC        " u="1"/>
        <s v="Nintendo of America      " u="1"/>
        <s v="Ross Burton Design Build " u="1"/>
        <s v="Lake Washington Institute of Technology" u="1"/>
        <s v="North Clackamas School Di" u="1"/>
        <s v="Sabey Datacenter Properties" u="1"/>
        <s v="ATS" u="1"/>
        <s v="El Chupacabra" u="1"/>
        <s v="Perlo Construction       " u="1"/>
        <s v="Group Health Cooperative" u="1"/>
        <s v="Happy Valley City Hall" u="1"/>
        <s v="Ed Barber                " u="1"/>
        <s v="Lockheed Martin" u="1"/>
        <s v="Meydenbauer Center       " u="1"/>
        <s v="LBA Realty BPCC-PF2SHU   " u="1"/>
        <s v="BlackRock Data Center" u="1"/>
        <s v="West &amp; Wheeler           " u="1"/>
        <s v="WEST COAST HOTEL         " u="1"/>
        <s v="Fifth Avenue Theatre     " u="1"/>
        <s v="Boeing 7-107" u="1"/>
        <s v="Southside Church of Chris" u="1"/>
        <s v="EverBank" u="1"/>
        <s v="Delores Sehrt" u="1"/>
        <s v="Shorenstein Properties   " u="1"/>
        <s v="SABEY CONSTRUCTION" u="1"/>
        <s v="Design Imports           " u="1"/>
        <s v="Kcorp Technology Svcs, Inc" u="1"/>
        <s v="AES Due Diligence" u="1"/>
        <s v="BT - Denise Barker" u="1"/>
        <s v="Nationwide Security &amp; Bld" u="1"/>
        <s v="Unispace" u="1"/>
        <s v="Cross Country            " u="1"/>
        <s v="Douglas County School Dis" u="1"/>
        <s v="LBA Realty BPCC          " u="1"/>
        <s v="Creekside Professional Center" u="1"/>
        <s v="InCity Properties        " u="1"/>
        <s v="9th &amp; Thomas Partners LLC" u="1"/>
        <s v="Arronson Security Group  " u="1"/>
        <s v="RAFN CO" u="1"/>
        <s v="Washington Air Reps      " u="1"/>
        <s v="Highline Water District  " u="1"/>
        <s v="McKinstry Co LLC" u="1"/>
        <s v="Patrick H Boden Inc      " u="1"/>
        <s v="Darigold                 " u="1"/>
        <s v="HeatCraft" u="1"/>
        <s v="TARGA Sound Terminal" u="1"/>
        <s v="RS Davis Recycling       " u="1"/>
        <s v="JSH Properties" u="1"/>
        <s v="Alderwood II c/o CBRE" u="1"/>
        <s v="Arden Realty Inc Willow Creek Corporate Center 2025F" u="1"/>
        <s v="Emerald City Commons" u="1"/>
        <s v="David Windecker          " u="1"/>
        <s v="Davita                   " u="1"/>
        <s v="NORTH STAR CASTEEL PRODUCT" u="1"/>
        <s v="Broadway Center for the P" u="1"/>
        <s v="Columbia Sportswear Company" u="1"/>
        <s v="Keystone Property Group  " u="1"/>
        <s v="AutoZone Maintenance     " u="1"/>
        <s v="Balfour Beatty Construction LLC" u="1"/>
        <s v="PARC - Belltown Condomini" u="1"/>
        <s v="Pateros School District  " u="1"/>
        <s v="ServiceMark              " u="1"/>
        <s v="Novo Nordisk Inc" u="1"/>
        <s v="Lynnwood Convention Cente" u="1"/>
        <s v="I.U.O.E.                 " u="1"/>
        <s v="Taylor Place Condominiums" u="1"/>
        <s v="Touchstone Office Bldg LL" u="1"/>
        <s v="Kiewit General Manson    " u="1"/>
        <s v="Menasha Joint School Dist" u="1"/>
        <s v="Tarleton State University" u="1"/>
        <s v="Tulalip Tribes Administra" u="1"/>
        <s v="Comfort Inn - Spokane" u="1"/>
        <s v="Shoreline Community College" u="1"/>
        <s v="Community Health Plan" u="1"/>
        <s v="Arden Realty Inc Willows Commerce Park II 2190B" u="1"/>
        <s v="Bay Vista Residential Tow" u="1"/>
        <s v="SGL Automotive Carbon Fibers  LLC" u="1"/>
        <s v="Millennium Building Services, Inc" u="1"/>
        <s v="Sabey Corporation" u="1"/>
        <s v="Overlake Terrace         " u="1"/>
        <s v="UPS Oasis Supply Corporation" u="1"/>
        <s v="GSA FINANCE DIVISION     " u="1"/>
        <s v="Salvation Army           " u="1"/>
        <s v="Husky Terminal " u="1"/>
        <s v="M.A. MORTENSON           " u="1"/>
        <s v="PACIFIC OFFICE AUTOMATION" u="1"/>
        <s v="Swedish Cancer Institute" u="1"/>
        <s v="Arden Realty Inc Redmond East 2075C" u="1"/>
        <s v="Hamilton Place           " u="1"/>
        <s v="Star Brass Works" u="1"/>
        <s v="VAMPD LLC, dba Photoboxx " u="1"/>
        <s v="Sunoco Partners Marketing Terminals LP" u="1"/>
        <s v="Health Sciences &amp; Services Authority of Spokane County" u="1"/>
        <s v="Alegis Construction, Inc " u="1"/>
        <s v="Siteline Health" u="1"/>
        <s v="Lake Washington School Di" u="1"/>
        <s v="AAA Commercial Property  " u="1"/>
        <s v="Seymour Memorial Hospital" u="1"/>
        <s v="Evergreen School District #114" u="1"/>
        <s v="Goodale &amp; Barbieri" u="1"/>
        <s v="LSG Sky Chefs Inc" u="1"/>
        <s v="Y K Kuniyuki" u="1"/>
        <s v="BMGI Real Estate" u="1"/>
        <s v="One Lincoln Tower" u="1"/>
        <s v="University Mechanical    " u="1"/>
        <s v="GB Systems               " u="1"/>
        <s v="Amazon SEA20 Day 1 North" u="1"/>
        <s v="CB Toyota Lift           " u="1"/>
        <s v="Arden Realty Inc Canyon Park Commons Bldg 3 2095" u="1"/>
        <s v="BP Pipelines and Logistic" u="1"/>
        <s v="YMCA - Spokane Central" u="1"/>
        <s v="Nicole Birgh" u="1"/>
        <s v="Norco Medical" u="1"/>
        <s v="Arden Realty Inc Redmond East 2075G" u="1"/>
        <s v="Alderwood Mall           " u="1"/>
        <s v="Bill Duffy Jr            " u="1"/>
        <s v="Bill Teplicky            " u="1"/>
        <s v="LBA Realty BPCC-R2362    " u="1"/>
        <s v="Janicki Logging &amp; Constru" u="1"/>
        <s v="The Energy Coalition     " u="1"/>
        <s v="BE Aerospace Bldg 2" u="1"/>
        <s v="REDHOOK                  " u="1"/>
        <s v="City of Tacoma" u="1"/>
        <s v="Clise Properties" u="1"/>
        <s v="Hermanson Corporation    " u="1"/>
        <s v="Alley 24                 " u="1"/>
        <s v="City of Bellingham       " u="1"/>
        <s v="Shorenstein Realty Svcs, " u="1"/>
        <s v="Class A Properties" u="1"/>
        <s v="Valley Hospital &amp; Medical Center" u="1"/>
        <s v="Littleton Public Schools " u="1"/>
        <s v="UHS of Delaware          " u="1"/>
        <s v="Urban Renaissance Property" u="1"/>
        <s v="Seattle Gastroenterology - Meridian" u="1"/>
        <s v="1111 Israel Rd LLC       " u="1"/>
        <s v="Kenyon Center" u="1"/>
        <s v="TMT Queen Anne Square Inc" u="1"/>
        <s v="ExxonMobil Lubricants &amp; Specialties" u="1"/>
        <s v="Global Calibration Services" u="1"/>
        <s v="Campus Green Condo II    " u="1"/>
        <s v="EVDC, LLC" u="1"/>
        <s v="Waste Management" u="1"/>
        <s v="Ann Nugent" u="1"/>
        <s v="Bellagio Condo           " u="1"/>
        <s v="Bellevue Club            " u="1"/>
        <s v="Bellevue Towers          " u="1"/>
        <s v="Aramark Uniform Service" u="1"/>
        <s v="SightLife" u="1"/>
        <s v="Techsolve Environmental I" u="1"/>
        <s v="LeMay Investments" u="1"/>
        <s v="Aerolac" u="1"/>
        <s v="Shell Oil - Anacortes" u="1"/>
        <s v="Devine Independent School" u="1"/>
        <s v="Intergate Columbia B" u="1"/>
        <s v="Path                     " u="1"/>
        <s v="Onvia.com" u="1"/>
        <s v="Pacific Tower QALICB LLC" u="1"/>
        <s v="Massachusetts Port Authority" u="1"/>
        <s v="Gilbane Building Co." u="1"/>
        <s v="Bob &amp; Mary Jo Aegerter " u="1"/>
        <s v="Columbia Tower Club" u="1"/>
        <s v="Minneapolis Park and Recr" u="1"/>
        <s v="2200 Condo Assoc.        " u="1"/>
        <s v="Development Services of America" u="1"/>
        <s v="Boeing Support Serivces-Svc Jobs" u="1"/>
        <s v="Lodge at Suncadia (Resort)" u="1"/>
        <s v="Langley Investment Proper" u="1"/>
        <s v="Avana 522 Apartments     " u="1"/>
        <s v="Dell                     " u="1"/>
        <s v="Filson " u="1"/>
        <s v="Iberdrola Renewables" u="1"/>
        <s v="Olympic Block" u="1"/>
        <s v="Spear Street Capital" u="1"/>
        <s v="Welltower" u="1"/>
        <s v="AT&amp;T Wireless Services" u="1"/>
        <s v="Gwen Kroon               " u="1"/>
        <s v="Arden Realty Inc Willows Commerce Park II 2190D" u="1"/>
        <s v="Healthcare Realty Service" u="1"/>
        <s v="Regis University         " u="1"/>
        <s v="MJ TAKISAKI, INC         " u="1"/>
        <s v="Stay'n Power, Inc        " u="1"/>
        <s v="Mullally Development Comp" u="1"/>
        <s v="DPR Construction" u="1"/>
        <s v="Wallingford Plaza" u="1"/>
        <s v="Graham Construction &amp; Mgm" u="1"/>
        <s v="Garden Valley School Dist" u="1"/>
        <s v="California Pizza Kitchen " u="1"/>
        <s v="Winona State University  " u="1"/>
        <s v="Ampajen Solutions LLC    " u="1"/>
        <s v="Schuyler Duryee" u="1"/>
        <s v="Apogee Holdings LLC      " u="1"/>
        <s v="Rosecreek Senior Living" u="1"/>
        <s v="DirectTV, Inc" u="1"/>
        <s v="Advantage Dirt Contractor" u="1"/>
        <s v="Washington State Bar Asso" u="1"/>
        <s v="Common Wealth Partners   " u="1"/>
        <s v="Department of Ecology    " u="1"/>
        <s v="Trilogy Cascade Club at R" u="1"/>
        <s v="BJ's Brewhouse, Inc      " u="1"/>
        <s v="Stockpot Soups           " u="1"/>
        <s v="Northwest Container Services Inc" u="1"/>
        <s v="Motion Industries" u="1"/>
        <s v="Disney Worldwide Shared S" u="1"/>
        <s v="Escala - Alston Steinmann" u="1"/>
        <s v="Hampton West Properties  " u="1"/>
        <s v="Morris Area School       " u="1"/>
        <s v="Murphy Mechanical Service" u="1"/>
        <s v="Anthony's Restaurant - Bremerton" u="1"/>
        <s v="Arden Realty Inc The Plaza at North Creek 2155A" u="1"/>
        <s v="AT&amp;T Willows 2" u="1"/>
        <s v="West Seattle Corporate Center" u="1"/>
        <s v="Snohomish County" u="1"/>
        <s v="Cascade Public Schools   " u="1"/>
        <s v="Holland Construction Mana" u="1"/>
        <s v="Harvard Park Independent " u="1"/>
        <s v="Gourmondo Catering" u="1"/>
        <s v="Six Oakes Apartments" u="1"/>
        <s v="Sparks Management" u="1"/>
        <s v="JMS CONSTRUCTION CO" u="1"/>
        <s v="Holiday Inn" u="1"/>
        <s v="Mosler Lofts             " u="1"/>
        <s v="Labkey Software          " u="1"/>
        <s v="U of W Real Estate Office" u="1"/>
        <s v="Premera Blue Cross" u="1"/>
        <s v="Ryan Companies US Inc" u="1"/>
        <s v="Prologis LP" u="1"/>
        <s v="F5 Networks at 401" u="1"/>
        <s v="Emcor National Accounts" u="1"/>
        <s v="South Suburban Parks and " u="1"/>
        <s v="Sorenson Communications  " u="1"/>
        <s v="Weingarten Realty Investors" u="1"/>
        <s v="Escala - Amy Laycock" u="1"/>
        <s v="Minor and James PLLC     " u="1"/>
        <s v="Burlington Tower Manageme" u="1"/>
        <s v="Crown Corr Inc           " u="1"/>
        <s v="WBRP II                  " u="1"/>
        <s v="WBRPI                    " u="1"/>
        <s v="TCI Inc General Contracto" u="1"/>
        <s v="City of Seattle DOT" u="1"/>
        <s v="Seattle Construction Resources" u="1"/>
        <s v="Montgomery Realty, LLC" u="1"/>
        <s v="Eaton Energy Solutions   " u="1"/>
        <s v="Renown" u="1"/>
        <s v="Jones Lang LaSalle Americas, Inc" u="1"/>
        <s v="Sprague Pest Solutions CO" u="1"/>
        <s v="Brooks Running" u="1"/>
        <s v="Reid Property Management" u="1"/>
        <s v="Essentia Natural Memory Foam Co" u="1"/>
        <s v="Verizon Wireless         " u="1"/>
        <s v="Clear Channel Radio      " u="1"/>
        <s v="Trinity Real Estate      " u="1"/>
        <s v="Largo LLC" u="1"/>
        <s v="Seattle University" u="1"/>
        <s v="Ecco Manufacturing" u="1"/>
        <s v="University of Washington" u="1"/>
        <s v="Ryan General Contractors" u="1"/>
        <s v="Deaconess Hospital" u="1"/>
        <s v="Sawyer Village           " u="1"/>
        <s v="SABEY CORPORATION        " u="1"/>
        <s v="Mobilitie" u="1"/>
        <s v="Ross Display" u="1"/>
        <s v="Xfinity Arena - Everett" u="1"/>
        <s v="LBA Realty BPCC-R2W300" u="1"/>
        <s v="MA Mortenson" u="1"/>
        <s v="Cabrini Medical Tower    " u="1"/>
        <s v="Hood River School Distric" u="1"/>
        <s v="Neil Walter Company      " u="1"/>
        <s v="Kidder Mathews" u="1"/>
        <s v="1712 Building            " u="1"/>
        <s v="Spokane Police Department" u="1"/>
        <s v="Garco Construction       " u="1"/>
        <s v="Pallino Pastaria" u="1"/>
        <s v="Power City Electric      " u="1"/>
        <s v="Ringside Fish House      " u="1"/>
        <s v="Carmike Cinemas" u="1"/>
        <s v="Urban Visions MFA Second &amp; Pike LLC" u="1"/>
        <s v="Falcon Art Community" u="1"/>
        <s v="Towne Apartments" u="1"/>
        <s v="Banner Bank              " u="1"/>
        <s v="First Cascade Corp" u="1"/>
        <s v="Mexico at Pacific Place" u="1"/>
        <s v="John Tallahan" u="1"/>
        <s v="UPS" u="1"/>
        <s v="Madrona Ridge LLC        " u="1"/>
        <s v="Bellevue Lincoln Plaza LL" u="1"/>
        <s v="Liberty Park Condos      " u="1"/>
        <s v="SD Deacon                " u="1"/>
        <s v="Venture General Contracting LLC" u="1"/>
        <s v="Michael Sutherlin        " u="1"/>
        <s v="Server Farm Realty" u="1"/>
        <s v="Eastholm Investments     " u="1"/>
        <s v="Steelhead Diner          " u="1"/>
        <s v="Federal Public Defenders" u="1"/>
        <s v="Coos Bay School District " u="1"/>
        <s v="Escala - Anne Chase" u="1"/>
        <s v="Work Source              " u="1"/>
        <s v="Parker Hannifin" u="1"/>
        <s v="Stockpot Soups" u="1"/>
        <s v="Amazon AP-Non Inventory  " u="1"/>
        <s v="Quil Ceda Village        " u="1"/>
        <s v="Tier Point" u="1"/>
        <s v="Ferrandino &amp; Son Inc" u="1"/>
        <s v="EMP                      " u="1"/>
        <s v="R&amp;H Construction         " u="1"/>
        <s v="AEP Span                 " u="1"/>
        <s v="HST Construction         " u="1"/>
        <s v="Hudson Bay Insulation    " u="1"/>
        <s v="CWD Group" u="1"/>
        <s v="World Mark The Club      " u="1"/>
        <s v="Department of Health" u="1"/>
        <s v="HOWARD S WRIGHT CONST." u="1"/>
        <s v="Stream Up Town           " u="1"/>
        <s v="Rebecca Treat" u="1"/>
        <s v="The Cheesecake Factory" u="1"/>
        <s v="JSH Properties           " u="1"/>
        <s v="Copper Hill Square" u="1"/>
        <s v="Fed Ex" u="1"/>
        <s v="Ace Hardware #4484" u="1"/>
        <s v="307 Westlake c/o CBRE, In" u="1"/>
        <s v="New Holstein School Distr" u="1"/>
        <s v="State Farm Mutual Automob" u="1"/>
        <s v="Arden Realty Inc Willow Creek Corporate Center 2025A" u="1"/>
        <s v="BPT Harve &amp; Wyomia Menkens" u="1"/>
        <s v="Lineage Logistics        " u="1"/>
        <s v="Option Care Enterprises, Inc" u="1"/>
        <s v="UNICO PROPERTIES" u="1"/>
        <s v="Essex Property Trust - Slater 116" u="1"/>
        <s v="PROPERTY DEVELOPMENT     " u="1"/>
        <s v="Western Washington Medical Group" u="1"/>
        <s v="505 Union Station LLC    " u="1"/>
        <s v="Helly Hansen - Auburn    " u="1"/>
        <s v="Cerium Networks" u="1"/>
        <s v="Hot Yoga                 " u="1"/>
        <s v="RockTenn Payment Processing" u="1"/>
        <s v="Energy Hippo Inc" u="1"/>
        <s v="Air Route Traffic Control" u="1"/>
        <s v="Ralcorp FBP" u="1"/>
        <s v="901 5th Ave Cray Computer" u="1"/>
        <s v="iheart Radio" u="1"/>
        <s v="Jefferson County" u="1"/>
        <s v="Ellsworth Builders Inc" u="1"/>
        <s v="Reklaim, Inc             " u="1"/>
        <s v="GRG USA LLC" u="1"/>
        <s v="Pacific Northwest Research Foundation" u="1"/>
        <s v="ZYK Enterprises" u="1"/>
        <s v="Dolan Built LLC          " u="1"/>
        <s v="The Gilbert House Apartments" u="1"/>
        <s v="City of Everett" u="1"/>
        <s v="Pyrotek                  " u="1"/>
        <s v="Jones Lang LaSalle Americas Inc" u="1"/>
        <s v="240 Radnor Chester Road I" u="1"/>
        <s v="ICON Corporation         " u="1"/>
        <s v="Pacific Coast Canola LLC " u="1"/>
        <s v="Seneca Family of Agencies" u="1"/>
        <s v="Newport Childrens School " u="1"/>
        <s v="All New Glass" u="1"/>
        <s v="Comcast Cable Company    " u="1"/>
        <s v="MUV Fitness              " u="1"/>
        <s v="Essex Property Trust     " u="1"/>
        <s v="Income Property Managemen" u="1"/>
        <s v="Commercial Property Management LLC" u="1"/>
        <s v="ShareHouse" u="1"/>
        <s v="Dimplex Thermal Solutions" u="1"/>
        <s v="Ed &amp; Teresa Andrews" u="1"/>
        <s v="T-Mobile PCS Holdings LLC" u="1"/>
        <s v="Ensite Solution, LLC     " u="1"/>
        <s v="City of Seattle" u="1"/>
        <s v="PHPDA C/O Jones Lang LaSalle" u="1"/>
        <s v="Yahoo" u="1"/>
        <s v="Danner Corporate Headquar" u="1"/>
        <s v="Tektronix" u="1"/>
        <s v="Gameworks" u="1"/>
        <s v="JE Cumming Corporation   " u="1"/>
        <s v="Whole Foods" u="1"/>
        <s v="Greystar                 " u="1"/>
        <s v="Alliance Bernstein" u="1"/>
        <s v="Kinder Morgan**DO NOT USE**" u="1"/>
        <s v="Escala - Jim Morris" u="1"/>
        <s v="Compendium Inc." u="1"/>
        <s v="Emma McRedmond           " u="1"/>
        <s v="Charter Board Coalition  " u="1"/>
        <s v="Gallery Condos" u="1"/>
        <s v="Juno Therpeutic" u="1"/>
        <s v="Tableau Software         " u="1"/>
        <s v="Howard S Wright Constructors" u="1"/>
        <s v="Meridian Plaza Shopping C" u="1"/>
        <s v="University of Portland   " u="1"/>
        <s v="PSE                      " u="1"/>
        <s v="Western Waterproofing Co " u="1"/>
        <s v="Neenan Company           " u="1"/>
        <s v="Roosevelt Commons" u="1"/>
        <s v="507 Northgate Apartments " u="1"/>
        <s v="DeGrazia General Contractors LLC" u="1"/>
        <s v="Klee Condominium" u="1"/>
        <s v="S &amp; B James Construction " u="1"/>
        <s v="TC Columbia Association  " u="1"/>
        <s v="Costco - WDC #1094" u="1"/>
        <s v="Kappes Miller Management " u="1"/>
        <s v="Adobe System Inc" u="1"/>
        <s v="PSM LLC                  " u="1"/>
        <s v="KIK Tacoma, Inc          " u="1"/>
        <s v="Marriott - Redmond Town C" u="1"/>
        <s v="The Boeing Company       " u="1"/>
        <s v="The Portland Clinic" u="1"/>
        <s v="Kim Sizemore             " u="1"/>
        <s v="USGS/BRD W FISHERIES RESE" u="1"/>
        <s v="One Convention Place" u="1"/>
        <s v="Siemens Industry Inc     " u="1"/>
        <s v="Skanska                  " u="1"/>
        <s v="Aon Risk Services" u="1"/>
        <s v="Boylston Street Assoc. LL" u="1"/>
        <s v="Northwest Hospital" u="1"/>
        <s v="LA Fitness" u="1"/>
        <s v="Bonneville International " u="1"/>
        <s v="Genetic Veterinary Sciences, Inc" u="1"/>
        <s v="Morelli Family LLC" u="1"/>
        <s v="World Vision c/o CBRE    " u="1"/>
        <s v="Peninsula College" u="1"/>
        <s v="Howard S Wright          " u="1"/>
        <s v="Merit Company        3020" u="1"/>
        <s v="Integral Consulting Inc" u="1"/>
        <s v="Harrison West Owners Asso" u="1"/>
        <s v="Dassault Systemes Americas Corp" u="1"/>
        <s v="Stanwood - Camano School District" u="1"/>
        <s v="City of Fort Collins" u="1"/>
        <s v="JCI - Key Bank           " u="1"/>
        <s v="Artic Llighting &amp; Electric LLC" u="1"/>
        <s v="Washington United Termina" u="1"/>
        <s v="Architects West Inc      " u="1"/>
        <s v="Great Falls School Distri" u="1"/>
        <s v="Made in Washington       " u="1"/>
        <s v="Univar                   " u="1"/>
      </sharedItems>
    </cacheField>
    <cacheField name="Customer#" numFmtId="0">
      <sharedItems containsNonDate="0" containsString="0" containsBlank="1"/>
    </cacheField>
    <cacheField name="Contract#" numFmtId="0">
      <sharedItems containsNonDate="0" containsString="0" containsBlank="1"/>
    </cacheField>
    <cacheField name="Invoice#" numFmtId="0">
      <sharedItems containsNonDate="0" containsString="0" containsBlank="1"/>
    </cacheField>
    <cacheField name="InvoiceDate" numFmtId="166">
      <sharedItems containsNonDate="0" containsString="0" containsBlank="1"/>
    </cacheField>
    <cacheField name="DueDate" numFmtId="166">
      <sharedItems containsNonDate="0" containsString="0" containsBlank="1"/>
    </cacheField>
    <cacheField name="TotalInvoiced" numFmtId="4">
      <sharedItems containsNonDate="0" containsString="0" containsBlank="1"/>
    </cacheField>
    <cacheField name="DaysPastDue" numFmtId="0">
      <sharedItems containsNonDate="0" containsString="0" containsBlank="1"/>
    </cacheField>
    <cacheField name="Current" numFmtId="4">
      <sharedItems containsNonDate="0" containsString="0" containsBlank="1"/>
    </cacheField>
    <cacheField name="Aged1to30" numFmtId="4">
      <sharedItems containsNonDate="0" containsString="0" containsBlank="1"/>
    </cacheField>
    <cacheField name="Aged31to60" numFmtId="4">
      <sharedItems containsNonDate="0" containsString="0" containsBlank="1"/>
    </cacheField>
    <cacheField name="Aged61to90" numFmtId="4">
      <sharedItems containsNonDate="0" containsString="0" containsBlank="1"/>
    </cacheField>
    <cacheField name="AgedOver90" numFmtId="4">
      <sharedItems containsNonDate="0" containsString="0" containsBlank="1"/>
    </cacheField>
    <cacheField name="TotalAged" numFmtId="4">
      <sharedItems containsNonDate="0" containsString="0" containsBlank="1"/>
    </cacheField>
    <cacheField name="Retainage" numFmtId="4">
      <sharedItems containsNonDate="0" containsString="0" containsBlank="1"/>
    </cacheField>
    <cacheField name="Paid" numFmtId="4">
      <sharedItems containsNonDate="0" containsString="0" containsBlank="1"/>
    </cacheField>
    <cacheField name="CollectionNotes" numFmtId="0">
      <sharedItems containsNonDate="0" containsString="0" containsBlank="1"/>
    </cacheField>
    <cacheField name="FinancialPeriod" numFmtId="166">
      <sharedItems containsNonDate="0" containsString="0" containsBlank="1"/>
    </cacheField>
    <cacheField name="AsOfDate" numFmtId="166">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x v="0"/>
    <x v="0"/>
    <m/>
    <m/>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2" colPageCount="1"/>
  <pivotFields count="25">
    <pivotField axis="axisPage" compact="0" outline="0" showAll="0">
      <items count="5">
        <item m="1" x="2"/>
        <item m="1" x="3"/>
        <item m="1" x="1"/>
        <item x="0"/>
        <item t="default"/>
      </items>
    </pivotField>
    <pivotField compact="0" outline="0" showAll="0" defaultSubtotal="0"/>
    <pivotField compact="0" outline="0" showAll="0" defaultSubtotal="0"/>
    <pivotField axis="axisPage" compact="0" outline="0" showAll="0">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pivotField>
    <pivotField compact="0" outline="0" showAll="0"/>
    <pivotField compact="0" outline="0" showAll="0"/>
    <pivotField axis="axisRow"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6"/>
  </rowFields>
  <rowItems count="2">
    <i>
      <x v="1282"/>
    </i>
    <i t="grand">
      <x/>
    </i>
  </rowItems>
  <colFields count="1">
    <field x="-2"/>
  </colFields>
  <colItems count="6">
    <i>
      <x/>
    </i>
    <i i="1">
      <x v="1"/>
    </i>
    <i i="2">
      <x v="2"/>
    </i>
    <i i="3">
      <x v="3"/>
    </i>
    <i i="4">
      <x v="4"/>
    </i>
    <i i="5">
      <x v="5"/>
    </i>
  </colItems>
  <pageFields count="2">
    <pageField fld="0" hier="-1"/>
    <pageField fld="3" hier="-1"/>
  </pageFields>
  <dataFields count="6">
    <dataField name="Current Amount" fld="14" baseField="6" baseItem="526" numFmtId="4"/>
    <dataField name="1-30 Amount" fld="15" baseField="6" baseItem="526" numFmtId="4"/>
    <dataField name="31-60 Amount" fld="16" baseField="6" baseItem="526" numFmtId="4"/>
    <dataField name="61-90 Amount" fld="17" baseField="6" baseItem="526" numFmtId="4"/>
    <dataField name="Over 90 Amount" fld="18" baseField="6" baseItem="526" numFmtId="4"/>
    <dataField name="Total Aged" fld="19" baseField="6" baseItem="526" numFmtId="4"/>
  </dataFields>
  <formats count="24">
    <format dxfId="203">
      <pivotArea type="all" dataOnly="0" outline="0" fieldPosition="0"/>
    </format>
    <format dxfId="202">
      <pivotArea field="6" type="button" dataOnly="0" labelOnly="1" outline="0" axis="axisRow" fieldPosition="0"/>
    </format>
    <format dxfId="201">
      <pivotArea dataOnly="0" labelOnly="1" outline="0" fieldPosition="0">
        <references count="1">
          <reference field="4294967294" count="6">
            <x v="0"/>
            <x v="1"/>
            <x v="2"/>
            <x v="3"/>
            <x v="4"/>
            <x v="5"/>
          </reference>
        </references>
      </pivotArea>
    </format>
    <format dxfId="200">
      <pivotArea field="6" type="button" dataOnly="0" labelOnly="1" outline="0" axis="axisRow" fieldPosition="0"/>
    </format>
    <format dxfId="199">
      <pivotArea dataOnly="0" labelOnly="1" outline="0" fieldPosition="0">
        <references count="1">
          <reference field="4294967294" count="6">
            <x v="0"/>
            <x v="1"/>
            <x v="2"/>
            <x v="3"/>
            <x v="4"/>
            <x v="5"/>
          </reference>
        </references>
      </pivotArea>
    </format>
    <format dxfId="198">
      <pivotArea dataOnly="0" grandRow="1" outline="0" axis="axisRow" fieldPosition="0"/>
    </format>
    <format dxfId="197">
      <pivotArea dataOnly="0" grandRow="1" outline="0" axis="axisRow" fieldPosition="0"/>
    </format>
    <format dxfId="196">
      <pivotArea dataOnly="0" outline="0" fieldPosition="0">
        <references count="1">
          <reference field="4294967294" count="6">
            <x v="0"/>
            <x v="1"/>
            <x v="2"/>
            <x v="3"/>
            <x v="4"/>
            <x v="5"/>
          </reference>
        </references>
      </pivotArea>
    </format>
    <format dxfId="195">
      <pivotArea field="6" type="button" dataOnly="0" labelOnly="1" outline="0" axis="axisRow" fieldPosition="0"/>
    </format>
    <format dxfId="194">
      <pivotArea dataOnly="0" labelOnly="1" outline="0" fieldPosition="0">
        <references count="1">
          <reference field="4294967294" count="6">
            <x v="0"/>
            <x v="1"/>
            <x v="2"/>
            <x v="3"/>
            <x v="4"/>
            <x v="5"/>
          </reference>
        </references>
      </pivotArea>
    </format>
    <format dxfId="193">
      <pivotArea grandRow="1" outline="0" collapsedLevelsAreSubtotals="1" fieldPosition="0"/>
    </format>
    <format dxfId="192">
      <pivotArea dataOnly="0" labelOnly="1" grandRow="1" outline="0" fieldPosition="0"/>
    </format>
    <format dxfId="191">
      <pivotArea outline="0" fieldPosition="0">
        <references count="1">
          <reference field="4294967294" count="1">
            <x v="0"/>
          </reference>
        </references>
      </pivotArea>
    </format>
    <format dxfId="190">
      <pivotArea outline="0" fieldPosition="0">
        <references count="1">
          <reference field="4294967294" count="1">
            <x v="1"/>
          </reference>
        </references>
      </pivotArea>
    </format>
    <format dxfId="189">
      <pivotArea outline="0" fieldPosition="0">
        <references count="1">
          <reference field="4294967294" count="1">
            <x v="2"/>
          </reference>
        </references>
      </pivotArea>
    </format>
    <format dxfId="188">
      <pivotArea outline="0" fieldPosition="0">
        <references count="1">
          <reference field="4294967294" count="1">
            <x v="3"/>
          </reference>
        </references>
      </pivotArea>
    </format>
    <format dxfId="187">
      <pivotArea outline="0" fieldPosition="0">
        <references count="1">
          <reference field="4294967294" count="1">
            <x v="4"/>
          </reference>
        </references>
      </pivotArea>
    </format>
    <format dxfId="186">
      <pivotArea outline="0" fieldPosition="0">
        <references count="1">
          <reference field="4294967294" count="1">
            <x v="5"/>
          </reference>
        </references>
      </pivotArea>
    </format>
    <format dxfId="185">
      <pivotArea outline="0" fieldPosition="0">
        <references count="1">
          <reference field="4294967294" count="1">
            <x v="0"/>
          </reference>
        </references>
      </pivotArea>
    </format>
    <format dxfId="184">
      <pivotArea outline="0" fieldPosition="0">
        <references count="1">
          <reference field="4294967294" count="1">
            <x v="1"/>
          </reference>
        </references>
      </pivotArea>
    </format>
    <format dxfId="183">
      <pivotArea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outline="0" fieldPosition="0">
        <references count="1">
          <reference field="4294967294" count="1">
            <x v="4"/>
          </reference>
        </references>
      </pivotArea>
    </format>
    <format dxfId="180">
      <pivotArea outline="0" fieldPosition="0">
        <references count="1">
          <reference field="4294967294" count="1">
            <x v="5"/>
          </reference>
        </references>
      </pivotArea>
    </format>
  </formats>
  <conditionalFormats count="4">
    <conditionalFormat type="all" priority="4">
      <pivotAreas count="1">
        <pivotArea type="data" outline="0" collapsedLevelsAreSubtotals="1" fieldPosition="0">
          <references count="2">
            <reference field="4294967294" count="1" selected="0">
              <x v="5"/>
            </reference>
            <reference field="6" count="720" selected="0">
              <x v="0"/>
              <x v="1"/>
              <x v="2"/>
              <x v="3"/>
              <x v="4"/>
              <x v="5"/>
              <x v="6"/>
              <x v="7"/>
              <x v="8"/>
              <x v="9"/>
              <x v="10"/>
              <x v="11"/>
              <x v="12"/>
              <x v="13"/>
              <x v="14"/>
              <x v="16"/>
              <x v="17"/>
              <x v="18"/>
              <x v="19"/>
              <x v="23"/>
              <x v="26"/>
              <x v="27"/>
              <x v="28"/>
              <x v="29"/>
              <x v="30"/>
              <x v="31"/>
              <x v="32"/>
              <x v="33"/>
              <x v="35"/>
              <x v="36"/>
              <x v="37"/>
              <x v="38"/>
              <x v="39"/>
              <x v="40"/>
              <x v="41"/>
              <x v="42"/>
              <x v="43"/>
              <x v="44"/>
              <x v="45"/>
              <x v="46"/>
              <x v="47"/>
              <x v="48"/>
              <x v="50"/>
              <x v="51"/>
              <x v="52"/>
              <x v="53"/>
              <x v="54"/>
              <x v="55"/>
              <x v="56"/>
              <x v="57"/>
              <x v="58"/>
              <x v="60"/>
              <x v="61"/>
              <x v="62"/>
              <x v="63"/>
              <x v="64"/>
              <x v="65"/>
              <x v="67"/>
              <x v="68"/>
              <x v="69"/>
              <x v="70"/>
              <x v="71"/>
              <x v="72"/>
              <x v="75"/>
              <x v="76"/>
              <x v="77"/>
              <x v="78"/>
              <x v="79"/>
              <x v="80"/>
              <x v="81"/>
              <x v="83"/>
              <x v="84"/>
              <x v="85"/>
              <x v="86"/>
              <x v="87"/>
              <x v="88"/>
              <x v="89"/>
              <x v="90"/>
              <x v="92"/>
              <x v="93"/>
              <x v="94"/>
              <x v="95"/>
              <x v="96"/>
              <x v="98"/>
              <x v="99"/>
              <x v="100"/>
              <x v="101"/>
              <x v="102"/>
              <x v="103"/>
              <x v="104"/>
              <x v="105"/>
              <x v="106"/>
              <x v="107"/>
              <x v="108"/>
              <x v="109"/>
              <x v="111"/>
              <x v="112"/>
              <x v="113"/>
              <x v="114"/>
              <x v="116"/>
              <x v="117"/>
              <x v="118"/>
              <x v="119"/>
              <x v="120"/>
              <x v="121"/>
              <x v="122"/>
              <x v="123"/>
              <x v="124"/>
              <x v="125"/>
              <x v="126"/>
              <x v="127"/>
              <x v="128"/>
              <x v="129"/>
              <x v="130"/>
              <x v="131"/>
              <x v="133"/>
              <x v="134"/>
              <x v="135"/>
              <x v="136"/>
              <x v="137"/>
              <x v="138"/>
              <x v="139"/>
              <x v="140"/>
              <x v="142"/>
              <x v="143"/>
              <x v="144"/>
              <x v="145"/>
              <x v="146"/>
              <x v="147"/>
              <x v="148"/>
              <x v="150"/>
              <x v="151"/>
              <x v="152"/>
              <x v="153"/>
              <x v="154"/>
              <x v="155"/>
              <x v="156"/>
              <x v="157"/>
              <x v="158"/>
              <x v="159"/>
              <x v="160"/>
              <x v="161"/>
              <x v="162"/>
              <x v="163"/>
              <x v="164"/>
              <x v="165"/>
              <x v="166"/>
              <x v="167"/>
              <x v="168"/>
              <x v="169"/>
              <x v="170"/>
              <x v="171"/>
              <x v="172"/>
              <x v="173"/>
              <x v="174"/>
              <x v="175"/>
              <x v="177"/>
              <x v="178"/>
              <x v="179"/>
              <x v="180"/>
              <x v="181"/>
              <x v="182"/>
              <x v="183"/>
              <x v="184"/>
              <x v="185"/>
              <x v="186"/>
              <x v="187"/>
              <x v="188"/>
              <x v="189"/>
              <x v="190"/>
              <x v="192"/>
              <x v="193"/>
              <x v="194"/>
              <x v="195"/>
              <x v="196"/>
              <x v="198"/>
              <x v="199"/>
              <x v="200"/>
              <x v="201"/>
              <x v="203"/>
              <x v="204"/>
              <x v="205"/>
              <x v="206"/>
              <x v="207"/>
              <x v="208"/>
              <x v="209"/>
              <x v="210"/>
              <x v="211"/>
              <x v="212"/>
              <x v="213"/>
              <x v="214"/>
              <x v="215"/>
              <x v="216"/>
              <x v="217"/>
              <x v="218"/>
              <x v="219"/>
              <x v="220"/>
              <x v="221"/>
              <x v="222"/>
              <x v="223"/>
              <x v="224"/>
              <x v="225"/>
              <x v="226"/>
              <x v="231"/>
              <x v="232"/>
              <x v="234"/>
              <x v="235"/>
              <x v="236"/>
              <x v="237"/>
              <x v="238"/>
              <x v="239"/>
              <x v="240"/>
              <x v="241"/>
              <x v="242"/>
              <x v="243"/>
              <x v="244"/>
              <x v="245"/>
              <x v="246"/>
              <x v="247"/>
              <x v="248"/>
              <x v="249"/>
              <x v="251"/>
              <x v="252"/>
              <x v="253"/>
              <x v="254"/>
              <x v="255"/>
              <x v="256"/>
              <x v="259"/>
              <x v="260"/>
              <x v="261"/>
              <x v="263"/>
              <x v="264"/>
              <x v="265"/>
              <x v="266"/>
              <x v="267"/>
              <x v="268"/>
              <x v="270"/>
              <x v="271"/>
              <x v="272"/>
              <x v="273"/>
              <x v="274"/>
              <x v="276"/>
              <x v="277"/>
              <x v="278"/>
              <x v="279"/>
              <x v="282"/>
              <x v="284"/>
              <x v="286"/>
              <x v="287"/>
              <x v="288"/>
              <x v="289"/>
              <x v="290"/>
              <x v="291"/>
              <x v="293"/>
              <x v="294"/>
              <x v="295"/>
              <x v="296"/>
              <x v="297"/>
              <x v="298"/>
              <x v="299"/>
              <x v="300"/>
              <x v="301"/>
              <x v="302"/>
              <x v="303"/>
              <x v="304"/>
              <x v="305"/>
              <x v="306"/>
              <x v="308"/>
              <x v="309"/>
              <x v="310"/>
              <x v="311"/>
              <x v="312"/>
              <x v="313"/>
              <x v="315"/>
              <x v="316"/>
              <x v="317"/>
              <x v="318"/>
              <x v="319"/>
              <x v="320"/>
              <x v="321"/>
              <x v="322"/>
              <x v="323"/>
              <x v="324"/>
              <x v="325"/>
              <x v="326"/>
              <x v="327"/>
              <x v="328"/>
              <x v="329"/>
              <x v="330"/>
              <x v="331"/>
              <x v="332"/>
              <x v="333"/>
              <x v="334"/>
              <x v="335"/>
              <x v="336"/>
              <x v="337"/>
              <x v="338"/>
              <x v="340"/>
              <x v="341"/>
              <x v="342"/>
              <x v="344"/>
              <x v="345"/>
              <x v="346"/>
              <x v="347"/>
              <x v="348"/>
              <x v="349"/>
              <x v="350"/>
              <x v="351"/>
              <x v="352"/>
              <x v="353"/>
              <x v="355"/>
              <x v="357"/>
              <x v="358"/>
              <x v="359"/>
              <x v="360"/>
              <x v="361"/>
              <x v="362"/>
              <x v="363"/>
              <x v="364"/>
              <x v="365"/>
              <x v="366"/>
              <x v="367"/>
              <x v="368"/>
              <x v="369"/>
              <x v="370"/>
              <x v="371"/>
              <x v="372"/>
              <x v="373"/>
              <x v="374"/>
              <x v="376"/>
              <x v="377"/>
              <x v="378"/>
              <x v="379"/>
              <x v="380"/>
              <x v="381"/>
              <x v="382"/>
              <x v="383"/>
              <x v="384"/>
              <x v="385"/>
              <x v="387"/>
              <x v="388"/>
              <x v="389"/>
              <x v="390"/>
              <x v="391"/>
              <x v="392"/>
              <x v="393"/>
              <x v="394"/>
              <x v="395"/>
              <x v="396"/>
              <x v="397"/>
              <x v="398"/>
              <x v="399"/>
              <x v="403"/>
              <x v="405"/>
              <x v="406"/>
              <x v="407"/>
              <x v="408"/>
              <x v="410"/>
              <x v="411"/>
              <x v="412"/>
              <x v="413"/>
              <x v="414"/>
              <x v="415"/>
              <x v="416"/>
              <x v="417"/>
              <x v="418"/>
              <x v="419"/>
              <x v="420"/>
              <x v="421"/>
              <x v="423"/>
              <x v="424"/>
              <x v="425"/>
              <x v="427"/>
              <x v="428"/>
              <x v="429"/>
              <x v="430"/>
              <x v="431"/>
              <x v="432"/>
              <x v="433"/>
              <x v="435"/>
              <x v="436"/>
              <x v="437"/>
              <x v="438"/>
              <x v="440"/>
              <x v="441"/>
              <x v="442"/>
              <x v="444"/>
              <x v="445"/>
              <x v="446"/>
              <x v="447"/>
              <x v="448"/>
              <x v="449"/>
              <x v="451"/>
              <x v="452"/>
              <x v="453"/>
              <x v="454"/>
              <x v="455"/>
              <x v="456"/>
              <x v="457"/>
              <x v="458"/>
              <x v="459"/>
              <x v="460"/>
              <x v="461"/>
              <x v="462"/>
              <x v="463"/>
              <x v="464"/>
              <x v="465"/>
              <x v="467"/>
              <x v="468"/>
              <x v="469"/>
              <x v="471"/>
              <x v="472"/>
              <x v="473"/>
              <x v="474"/>
              <x v="476"/>
              <x v="477"/>
              <x v="478"/>
              <x v="480"/>
              <x v="481"/>
              <x v="482"/>
              <x v="483"/>
              <x v="484"/>
              <x v="485"/>
              <x v="486"/>
              <x v="487"/>
              <x v="488"/>
              <x v="489"/>
              <x v="490"/>
              <x v="491"/>
              <x v="492"/>
              <x v="493"/>
              <x v="494"/>
              <x v="495"/>
              <x v="496"/>
              <x v="497"/>
              <x v="498"/>
              <x v="499"/>
              <x v="500"/>
              <x v="501"/>
              <x v="502"/>
              <x v="503"/>
              <x v="505"/>
              <x v="506"/>
              <x v="507"/>
              <x v="508"/>
              <x v="509"/>
              <x v="511"/>
              <x v="512"/>
              <x v="513"/>
              <x v="514"/>
              <x v="515"/>
              <x v="516"/>
              <x v="518"/>
              <x v="519"/>
              <x v="520"/>
              <x v="521"/>
              <x v="522"/>
              <x v="523"/>
              <x v="524"/>
              <x v="525"/>
              <x v="526"/>
              <x v="527"/>
              <x v="528"/>
              <x v="529"/>
              <x v="530"/>
              <x v="531"/>
              <x v="532"/>
              <x v="533"/>
              <x v="534"/>
              <x v="535"/>
              <x v="536"/>
              <x v="537"/>
              <x v="538"/>
              <x v="539"/>
              <x v="540"/>
              <x v="542"/>
              <x v="544"/>
              <x v="545"/>
              <x v="546"/>
              <x v="547"/>
              <x v="548"/>
              <x v="549"/>
              <x v="550"/>
              <x v="551"/>
              <x v="553"/>
              <x v="554"/>
              <x v="555"/>
              <x v="556"/>
              <x v="558"/>
              <x v="559"/>
              <x v="560"/>
              <x v="561"/>
              <x v="562"/>
              <x v="563"/>
              <x v="564"/>
              <x v="565"/>
              <x v="566"/>
              <x v="567"/>
              <x v="568"/>
              <x v="569"/>
              <x v="570"/>
              <x v="571"/>
              <x v="572"/>
              <x v="573"/>
              <x v="574"/>
              <x v="575"/>
              <x v="576"/>
              <x v="577"/>
              <x v="578"/>
              <x v="579"/>
              <x v="580"/>
              <x v="581"/>
              <x v="582"/>
              <x v="583"/>
              <x v="584"/>
              <x v="585"/>
              <x v="587"/>
              <x v="588"/>
              <x v="589"/>
              <x v="590"/>
              <x v="592"/>
              <x v="594"/>
              <x v="595"/>
              <x v="596"/>
              <x v="597"/>
              <x v="598"/>
              <x v="599"/>
              <x v="600"/>
              <x v="601"/>
              <x v="602"/>
              <x v="603"/>
              <x v="604"/>
              <x v="605"/>
              <x v="606"/>
              <x v="607"/>
              <x v="608"/>
              <x v="609"/>
              <x v="610"/>
              <x v="611"/>
              <x v="612"/>
              <x v="613"/>
              <x v="614"/>
              <x v="615"/>
              <x v="616"/>
              <x v="617"/>
              <x v="618"/>
              <x v="619"/>
              <x v="620"/>
              <x v="621"/>
              <x v="622"/>
              <x v="623"/>
              <x v="624"/>
              <x v="625"/>
              <x v="626"/>
              <x v="627"/>
              <x v="628"/>
              <x v="629"/>
              <x v="630"/>
              <x v="631"/>
              <x v="633"/>
              <x v="634"/>
              <x v="635"/>
              <x v="636"/>
              <x v="637"/>
              <x v="638"/>
              <x v="640"/>
              <x v="641"/>
              <x v="642"/>
              <x v="643"/>
              <x v="644"/>
              <x v="645"/>
              <x v="646"/>
              <x v="647"/>
              <x v="648"/>
              <x v="649"/>
              <x v="650"/>
              <x v="651"/>
              <x v="652"/>
              <x v="653"/>
              <x v="654"/>
              <x v="655"/>
              <x v="656"/>
              <x v="657"/>
              <x v="658"/>
              <x v="659"/>
              <x v="660"/>
              <x v="661"/>
              <x v="662"/>
              <x v="663"/>
              <x v="664"/>
              <x v="665"/>
              <x v="666"/>
              <x v="667"/>
              <x v="668"/>
              <x v="669"/>
              <x v="670"/>
              <x v="671"/>
              <x v="673"/>
              <x v="674"/>
              <x v="676"/>
              <x v="678"/>
              <x v="679"/>
              <x v="680"/>
              <x v="681"/>
              <x v="682"/>
              <x v="683"/>
              <x v="684"/>
              <x v="685"/>
              <x v="686"/>
              <x v="687"/>
              <x v="688"/>
              <x v="689"/>
              <x v="690"/>
              <x v="691"/>
              <x v="692"/>
              <x v="693"/>
              <x v="694"/>
              <x v="695"/>
              <x v="696"/>
              <x v="697"/>
              <x v="698"/>
              <x v="700"/>
              <x v="701"/>
              <x v="703"/>
              <x v="704"/>
              <x v="705"/>
              <x v="706"/>
              <x v="707"/>
              <x v="708"/>
              <x v="709"/>
              <x v="710"/>
              <x v="711"/>
              <x v="713"/>
              <x v="714"/>
              <x v="715"/>
              <x v="716"/>
              <x v="717"/>
              <x v="718"/>
              <x v="722"/>
              <x v="723"/>
              <x v="724"/>
              <x v="725"/>
              <x v="726"/>
              <x v="727"/>
              <x v="730"/>
              <x v="731"/>
              <x v="732"/>
              <x v="734"/>
              <x v="735"/>
              <x v="736"/>
              <x v="737"/>
              <x v="738"/>
              <x v="740"/>
              <x v="743"/>
              <x v="744"/>
              <x v="747"/>
              <x v="748"/>
              <x v="749"/>
              <x v="750"/>
              <x v="751"/>
              <x v="756"/>
              <x v="759"/>
              <x v="760"/>
              <x v="761"/>
              <x v="762"/>
              <x v="768"/>
              <x v="769"/>
              <x v="773"/>
              <x v="775"/>
              <x v="780"/>
              <x v="782"/>
              <x v="783"/>
              <x v="784"/>
              <x v="785"/>
              <x v="789"/>
              <x v="790"/>
              <x v="791"/>
              <x v="792"/>
              <x v="794"/>
              <x v="796"/>
              <x v="799"/>
              <x v="800"/>
              <x v="801"/>
              <x v="805"/>
              <x v="806"/>
              <x v="809"/>
              <x v="810"/>
              <x v="811"/>
              <x v="813"/>
              <x v="816"/>
              <x v="817"/>
              <x v="819"/>
              <x v="822"/>
              <x v="823"/>
              <x v="826"/>
              <x v="832"/>
              <x v="833"/>
              <x v="835"/>
              <x v="838"/>
              <x v="841"/>
              <x v="843"/>
              <x v="844"/>
              <x v="848"/>
              <x v="851"/>
              <x v="854"/>
              <x v="858"/>
              <x v="862"/>
              <x v="863"/>
              <x v="865"/>
              <x v="866"/>
              <x v="869"/>
              <x v="878"/>
              <x v="882"/>
              <x v="884"/>
              <x v="891"/>
              <x v="892"/>
              <x v="893"/>
              <x v="901"/>
              <x v="906"/>
              <x v="907"/>
            </reference>
          </references>
        </pivotArea>
      </pivotAreas>
    </conditionalFormat>
    <conditionalFormat type="all" priority="3">
      <pivotAreas count="1">
        <pivotArea type="data" outline="0" collapsedLevelsAreSubtotals="1" fieldPosition="0">
          <references count="2">
            <reference field="4294967294" count="1" selected="0">
              <x v="5"/>
            </reference>
            <reference field="6" count="908"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reference>
          </references>
        </pivotArea>
      </pivotAreas>
    </conditionalFormat>
    <conditionalFormat type="all" priority="2">
      <pivotAreas count="1">
        <pivotArea type="data" outline="0" collapsedLevelsAreSubtotals="1" fieldPosition="0">
          <references count="2">
            <reference field="4294967294" count="1" selected="0">
              <x v="5"/>
            </reference>
            <reference field="6" count="1083" selected="0">
              <x v="0"/>
              <x v="2"/>
              <x v="3"/>
              <x v="4"/>
              <x v="5"/>
              <x v="6"/>
              <x v="7"/>
              <x v="8"/>
              <x v="9"/>
              <x v="10"/>
              <x v="11"/>
              <x v="12"/>
              <x v="13"/>
              <x v="14"/>
              <x v="16"/>
              <x v="17"/>
              <x v="18"/>
              <x v="19"/>
              <x v="20"/>
              <x v="23"/>
              <x v="24"/>
              <x v="25"/>
              <x v="26"/>
              <x v="27"/>
              <x v="28"/>
              <x v="29"/>
              <x v="30"/>
              <x v="31"/>
              <x v="32"/>
              <x v="33"/>
              <x v="34"/>
              <x v="35"/>
              <x v="36"/>
              <x v="37"/>
              <x v="38"/>
              <x v="39"/>
              <x v="40"/>
              <x v="41"/>
              <x v="42"/>
              <x v="43"/>
              <x v="44"/>
              <x v="45"/>
              <x v="46"/>
              <x v="47"/>
              <x v="48"/>
              <x v="50"/>
              <x v="51"/>
              <x v="52"/>
              <x v="53"/>
              <x v="54"/>
              <x v="55"/>
              <x v="56"/>
              <x v="57"/>
              <x v="58"/>
              <x v="59"/>
              <x v="60"/>
              <x v="61"/>
              <x v="62"/>
              <x v="63"/>
              <x v="64"/>
              <x v="65"/>
              <x v="66"/>
              <x v="67"/>
              <x v="68"/>
              <x v="69"/>
              <x v="70"/>
              <x v="71"/>
              <x v="72"/>
              <x v="75"/>
              <x v="76"/>
              <x v="77"/>
              <x v="78"/>
              <x v="79"/>
              <x v="80"/>
              <x v="81"/>
              <x v="82"/>
              <x v="83"/>
              <x v="84"/>
              <x v="85"/>
              <x v="86"/>
              <x v="87"/>
              <x v="88"/>
              <x v="89"/>
              <x v="90"/>
              <x v="91"/>
              <x v="92"/>
              <x v="93"/>
              <x v="94"/>
              <x v="95"/>
              <x v="96"/>
              <x v="98"/>
              <x v="99"/>
              <x v="100"/>
              <x v="101"/>
              <x v="102"/>
              <x v="103"/>
              <x v="104"/>
              <x v="105"/>
              <x v="106"/>
              <x v="107"/>
              <x v="108"/>
              <x v="109"/>
              <x v="110"/>
              <x v="111"/>
              <x v="112"/>
              <x v="113"/>
              <x v="114"/>
              <x v="115"/>
              <x v="116"/>
              <x v="117"/>
              <x v="118"/>
              <x v="119"/>
              <x v="120"/>
              <x v="121"/>
              <x v="122"/>
              <x v="123"/>
              <x v="124"/>
              <x v="125"/>
              <x v="126"/>
              <x v="127"/>
              <x v="128"/>
              <x v="129"/>
              <x v="130"/>
              <x v="131"/>
              <x v="133"/>
              <x v="134"/>
              <x v="135"/>
              <x v="136"/>
              <x v="137"/>
              <x v="138"/>
              <x v="139"/>
              <x v="140"/>
              <x v="141"/>
              <x v="142"/>
              <x v="143"/>
              <x v="144"/>
              <x v="145"/>
              <x v="146"/>
              <x v="147"/>
              <x v="148"/>
              <x v="150"/>
              <x v="151"/>
              <x v="152"/>
              <x v="153"/>
              <x v="154"/>
              <x v="155"/>
              <x v="156"/>
              <x v="157"/>
              <x v="158"/>
              <x v="159"/>
              <x v="160"/>
              <x v="161"/>
              <x v="162"/>
              <x v="163"/>
              <x v="164"/>
              <x v="165"/>
              <x v="166"/>
              <x v="167"/>
              <x v="168"/>
              <x v="169"/>
              <x v="170"/>
              <x v="171"/>
              <x v="172"/>
              <x v="173"/>
              <x v="174"/>
              <x v="175"/>
              <x v="177"/>
              <x v="178"/>
              <x v="179"/>
              <x v="180"/>
              <x v="181"/>
              <x v="182"/>
              <x v="183"/>
              <x v="184"/>
              <x v="185"/>
              <x v="186"/>
              <x v="187"/>
              <x v="188"/>
              <x v="189"/>
              <x v="190"/>
              <x v="192"/>
              <x v="193"/>
              <x v="194"/>
              <x v="195"/>
              <x v="196"/>
              <x v="198"/>
              <x v="199"/>
              <x v="200"/>
              <x v="201"/>
              <x v="202"/>
              <x v="203"/>
              <x v="204"/>
              <x v="205"/>
              <x v="206"/>
              <x v="207"/>
              <x v="208"/>
              <x v="209"/>
              <x v="210"/>
              <x v="211"/>
              <x v="212"/>
              <x v="213"/>
              <x v="214"/>
              <x v="215"/>
              <x v="216"/>
              <x v="217"/>
              <x v="218"/>
              <x v="219"/>
              <x v="221"/>
              <x v="222"/>
              <x v="223"/>
              <x v="224"/>
              <x v="225"/>
              <x v="226"/>
              <x v="227"/>
              <x v="228"/>
              <x v="230"/>
              <x v="231"/>
              <x v="232"/>
              <x v="233"/>
              <x v="234"/>
              <x v="235"/>
              <x v="236"/>
              <x v="237"/>
              <x v="238"/>
              <x v="239"/>
              <x v="240"/>
              <x v="241"/>
              <x v="242"/>
              <x v="244"/>
              <x v="245"/>
              <x v="246"/>
              <x v="247"/>
              <x v="248"/>
              <x v="249"/>
              <x v="251"/>
              <x v="252"/>
              <x v="253"/>
              <x v="254"/>
              <x v="255"/>
              <x v="256"/>
              <x v="257"/>
              <x v="259"/>
              <x v="260"/>
              <x v="261"/>
              <x v="263"/>
              <x v="264"/>
              <x v="265"/>
              <x v="266"/>
              <x v="267"/>
              <x v="268"/>
              <x v="270"/>
              <x v="271"/>
              <x v="272"/>
              <x v="273"/>
              <x v="274"/>
              <x v="276"/>
              <x v="278"/>
              <x v="279"/>
              <x v="281"/>
              <x v="282"/>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5"/>
              <x v="406"/>
              <x v="408"/>
              <x v="410"/>
              <x v="411"/>
              <x v="412"/>
              <x v="414"/>
              <x v="415"/>
              <x v="417"/>
              <x v="418"/>
              <x v="419"/>
              <x v="420"/>
              <x v="421"/>
              <x v="422"/>
              <x v="423"/>
              <x v="424"/>
              <x v="425"/>
              <x v="427"/>
              <x v="428"/>
              <x v="429"/>
              <x v="430"/>
              <x v="431"/>
              <x v="432"/>
              <x v="433"/>
              <x v="435"/>
              <x v="436"/>
              <x v="437"/>
              <x v="438"/>
              <x v="439"/>
              <x v="440"/>
              <x v="441"/>
              <x v="442"/>
              <x v="443"/>
              <x v="444"/>
              <x v="445"/>
              <x v="446"/>
              <x v="447"/>
              <x v="448"/>
              <x v="449"/>
              <x v="450"/>
              <x v="451"/>
              <x v="452"/>
              <x v="453"/>
              <x v="454"/>
              <x v="455"/>
              <x v="456"/>
              <x v="457"/>
              <x v="458"/>
              <x v="459"/>
              <x v="460"/>
              <x v="461"/>
              <x v="462"/>
              <x v="464"/>
              <x v="465"/>
              <x v="466"/>
              <x v="467"/>
              <x v="468"/>
              <x v="469"/>
              <x v="470"/>
              <x v="471"/>
              <x v="472"/>
              <x v="473"/>
              <x v="474"/>
              <x v="475"/>
              <x v="476"/>
              <x v="477"/>
              <x v="478"/>
              <x v="481"/>
              <x v="482"/>
              <x v="483"/>
              <x v="484"/>
              <x v="485"/>
              <x v="486"/>
              <x v="487"/>
              <x v="488"/>
              <x v="489"/>
              <x v="490"/>
              <x v="491"/>
              <x v="493"/>
              <x v="494"/>
              <x v="495"/>
              <x v="496"/>
              <x v="497"/>
              <x v="498"/>
              <x v="499"/>
              <x v="500"/>
              <x v="501"/>
              <x v="502"/>
              <x v="503"/>
              <x v="504"/>
              <x v="505"/>
              <x v="506"/>
              <x v="507"/>
              <x v="508"/>
              <x v="509"/>
              <x v="511"/>
              <x v="512"/>
              <x v="513"/>
              <x v="514"/>
              <x v="515"/>
              <x v="516"/>
              <x v="518"/>
              <x v="519"/>
              <x v="520"/>
              <x v="521"/>
              <x v="522"/>
              <x v="523"/>
              <x v="524"/>
              <x v="525"/>
              <x v="526"/>
              <x v="527"/>
              <x v="528"/>
              <x v="529"/>
              <x v="530"/>
              <x v="531"/>
              <x v="532"/>
              <x v="533"/>
              <x v="534"/>
              <x v="535"/>
              <x v="536"/>
              <x v="537"/>
              <x v="538"/>
              <x v="539"/>
              <x v="540"/>
              <x v="541"/>
              <x v="542"/>
              <x v="543"/>
              <x v="544"/>
              <x v="545"/>
              <x v="546"/>
              <x v="547"/>
              <x v="548"/>
              <x v="549"/>
              <x v="550"/>
              <x v="551"/>
              <x v="552"/>
              <x v="553"/>
              <x v="554"/>
              <x v="555"/>
              <x v="556"/>
              <x v="558"/>
              <x v="559"/>
              <x v="560"/>
              <x v="561"/>
              <x v="562"/>
              <x v="563"/>
              <x v="564"/>
              <x v="565"/>
              <x v="566"/>
              <x v="567"/>
              <x v="568"/>
              <x v="569"/>
              <x v="570"/>
              <x v="571"/>
              <x v="572"/>
              <x v="573"/>
              <x v="574"/>
              <x v="575"/>
              <x v="576"/>
              <x v="577"/>
              <x v="578"/>
              <x v="579"/>
              <x v="580"/>
              <x v="581"/>
              <x v="582"/>
              <x v="583"/>
              <x v="584"/>
              <x v="585"/>
              <x v="586"/>
              <x v="587"/>
              <x v="588"/>
              <x v="589"/>
              <x v="590"/>
              <x v="592"/>
              <x v="594"/>
              <x v="595"/>
              <x v="596"/>
              <x v="597"/>
              <x v="598"/>
              <x v="599"/>
              <x v="600"/>
              <x v="601"/>
              <x v="602"/>
              <x v="603"/>
              <x v="604"/>
              <x v="605"/>
              <x v="606"/>
              <x v="607"/>
              <x v="608"/>
              <x v="609"/>
              <x v="610"/>
              <x v="611"/>
              <x v="612"/>
              <x v="613"/>
              <x v="614"/>
              <x v="616"/>
              <x v="617"/>
              <x v="618"/>
              <x v="619"/>
              <x v="620"/>
              <x v="621"/>
              <x v="622"/>
              <x v="623"/>
              <x v="624"/>
              <x v="625"/>
              <x v="626"/>
              <x v="627"/>
              <x v="628"/>
              <x v="629"/>
              <x v="630"/>
              <x v="631"/>
              <x v="633"/>
              <x v="634"/>
              <x v="635"/>
              <x v="636"/>
              <x v="637"/>
              <x v="638"/>
              <x v="639"/>
              <x v="640"/>
              <x v="641"/>
              <x v="642"/>
              <x v="643"/>
              <x v="644"/>
              <x v="645"/>
              <x v="646"/>
              <x v="647"/>
              <x v="648"/>
              <x v="649"/>
              <x v="650"/>
              <x v="651"/>
              <x v="652"/>
              <x v="653"/>
              <x v="654"/>
              <x v="655"/>
              <x v="656"/>
              <x v="657"/>
              <x v="658"/>
              <x v="659"/>
              <x v="660"/>
              <x v="661"/>
              <x v="662"/>
              <x v="663"/>
              <x v="664"/>
              <x v="665"/>
              <x v="666"/>
              <x v="667"/>
              <x v="668"/>
              <x v="669"/>
              <x v="670"/>
              <x v="671"/>
              <x v="673"/>
              <x v="674"/>
              <x v="675"/>
              <x v="676"/>
              <x v="677"/>
              <x v="678"/>
              <x v="680"/>
              <x v="681"/>
              <x v="682"/>
              <x v="683"/>
              <x v="684"/>
              <x v="686"/>
              <x v="687"/>
              <x v="688"/>
              <x v="689"/>
              <x v="690"/>
              <x v="691"/>
              <x v="692"/>
              <x v="693"/>
              <x v="694"/>
              <x v="695"/>
              <x v="696"/>
              <x v="697"/>
              <x v="699"/>
              <x v="700"/>
              <x v="701"/>
              <x v="703"/>
              <x v="704"/>
              <x v="705"/>
              <x v="706"/>
              <x v="707"/>
              <x v="708"/>
              <x v="709"/>
              <x v="710"/>
              <x v="711"/>
              <x v="712"/>
              <x v="713"/>
              <x v="714"/>
              <x v="715"/>
              <x v="716"/>
              <x v="717"/>
              <x v="718"/>
              <x v="719"/>
              <x v="720"/>
              <x v="721"/>
              <x v="724"/>
              <x v="725"/>
              <x v="726"/>
              <x v="727"/>
              <x v="728"/>
              <x v="730"/>
              <x v="731"/>
              <x v="732"/>
              <x v="734"/>
              <x v="735"/>
              <x v="736"/>
              <x v="737"/>
              <x v="739"/>
              <x v="741"/>
              <x v="742"/>
              <x v="743"/>
              <x v="744"/>
              <x v="745"/>
              <x v="746"/>
              <x v="748"/>
              <x v="749"/>
              <x v="750"/>
              <x v="751"/>
              <x v="753"/>
              <x v="755"/>
              <x v="756"/>
              <x v="757"/>
              <x v="758"/>
              <x v="759"/>
              <x v="760"/>
              <x v="761"/>
              <x v="762"/>
              <x v="763"/>
              <x v="764"/>
              <x v="765"/>
              <x v="766"/>
              <x v="768"/>
              <x v="769"/>
              <x v="771"/>
              <x v="772"/>
              <x v="773"/>
              <x v="774"/>
              <x v="775"/>
              <x v="777"/>
              <x v="779"/>
              <x v="782"/>
              <x v="783"/>
              <x v="784"/>
              <x v="785"/>
              <x v="787"/>
              <x v="789"/>
              <x v="791"/>
              <x v="792"/>
              <x v="793"/>
              <x v="794"/>
              <x v="795"/>
              <x v="796"/>
              <x v="797"/>
              <x v="799"/>
              <x v="800"/>
              <x v="801"/>
              <x v="802"/>
              <x v="804"/>
              <x v="805"/>
              <x v="806"/>
              <x v="807"/>
              <x v="809"/>
              <x v="810"/>
              <x v="811"/>
              <x v="813"/>
              <x v="816"/>
              <x v="819"/>
              <x v="821"/>
              <x v="822"/>
              <x v="823"/>
              <x v="824"/>
              <x v="825"/>
              <x v="826"/>
              <x v="827"/>
              <x v="832"/>
              <x v="833"/>
              <x v="835"/>
              <x v="836"/>
              <x v="837"/>
              <x v="838"/>
              <x v="839"/>
              <x v="841"/>
              <x v="843"/>
              <x v="844"/>
              <x v="846"/>
              <x v="848"/>
              <x v="850"/>
              <x v="851"/>
              <x v="855"/>
              <x v="866"/>
              <x v="867"/>
              <x v="869"/>
              <x v="870"/>
              <x v="876"/>
              <x v="878"/>
              <x v="881"/>
              <x v="882"/>
              <x v="885"/>
              <x v="888"/>
              <x v="891"/>
              <x v="892"/>
              <x v="895"/>
              <x v="898"/>
              <x v="899"/>
              <x v="901"/>
              <x v="902"/>
              <x v="903"/>
              <x v="904"/>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x v="1200"/>
              <x v="1201"/>
            </reference>
          </references>
        </pivotArea>
      </pivotAreas>
    </conditionalFormat>
    <conditionalFormat type="all" priority="1">
      <pivotAreas count="1">
        <pivotArea outline="0" fieldPosition="0">
          <references count="1">
            <reference field="4294967294" count="1">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2" colPageCount="1"/>
  <pivotFields count="25">
    <pivotField axis="axisPage" compact="0" outline="0" showAll="0">
      <items count="5">
        <item m="1" x="2"/>
        <item m="1" x="3"/>
        <item m="1" x="1"/>
        <item x="0"/>
        <item t="default"/>
      </items>
    </pivotField>
    <pivotField compact="0" outline="0" showAll="0" defaultSubtotal="0"/>
    <pivotField axis="axisRow" compact="0" outline="0" showAll="0" defaultSubtotal="0">
      <items count="40">
        <item m="1" x="9"/>
        <item m="1" x="38"/>
        <item m="1" x="20"/>
        <item m="1" x="23"/>
        <item m="1" x="10"/>
        <item m="1" x="28"/>
        <item m="1" x="11"/>
        <item m="1" x="32"/>
        <item m="1" x="31"/>
        <item m="1" x="13"/>
        <item m="1" x="27"/>
        <item m="1" x="21"/>
        <item m="1" x="33"/>
        <item m="1" x="19"/>
        <item m="1" x="30"/>
        <item m="1" x="4"/>
        <item m="1" x="8"/>
        <item m="1" x="6"/>
        <item m="1" x="3"/>
        <item m="1" x="15"/>
        <item m="1" x="16"/>
        <item m="1" x="34"/>
        <item m="1" x="25"/>
        <item m="1" x="39"/>
        <item m="1" x="26"/>
        <item m="1" x="14"/>
        <item m="1" x="5"/>
        <item m="1" x="18"/>
        <item m="1" x="1"/>
        <item m="1" x="24"/>
        <item m="1" x="35"/>
        <item m="1" x="37"/>
        <item m="1" x="22"/>
        <item m="1" x="2"/>
        <item m="1" x="12"/>
        <item m="1" x="29"/>
        <item m="1" x="36"/>
        <item m="1" x="7"/>
        <item x="0"/>
        <item m="1" x="17"/>
      </items>
    </pivotField>
    <pivotField axis="axisPage" compact="0" outline="0" showAll="0" sortType="descending">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autoSortScope>
        <pivotArea dataOnly="0" outline="0" fieldPosition="0">
          <references count="1">
            <reference field="4294967294" count="1" selected="0">
              <x v="5"/>
            </reference>
          </references>
        </pivotArea>
      </autoSortScope>
    </pivotField>
    <pivotField compact="0" outline="0" showAll="0"/>
    <pivotField compact="0" outline="0" showAll="0"/>
    <pivotField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2"/>
  </rowFields>
  <rowItems count="2">
    <i>
      <x v="38"/>
    </i>
    <i t="grand">
      <x/>
    </i>
  </rowItems>
  <colFields count="1">
    <field x="-2"/>
  </colFields>
  <colItems count="6">
    <i>
      <x/>
    </i>
    <i i="1">
      <x v="1"/>
    </i>
    <i i="2">
      <x v="2"/>
    </i>
    <i i="3">
      <x v="3"/>
    </i>
    <i i="4">
      <x v="4"/>
    </i>
    <i i="5">
      <x v="5"/>
    </i>
  </colItems>
  <pageFields count="2">
    <pageField fld="0" hier="-1"/>
    <pageField fld="3" hier="-1"/>
  </pageFields>
  <dataFields count="6">
    <dataField name="Current Amount" fld="14" baseField="2" baseItem="0" numFmtId="4"/>
    <dataField name="1-30 Amoung" fld="15" baseField="2" baseItem="0" numFmtId="4"/>
    <dataField name="31-60 Amount" fld="16" baseField="2" baseItem="0" numFmtId="4"/>
    <dataField name="61-90 Amount" fld="17" baseField="2" baseItem="0" numFmtId="4"/>
    <dataField name="Over 90 Amount" fld="18" baseField="2" baseItem="0" numFmtId="4"/>
    <dataField name="Total Aged" fld="19" baseField="2" baseItem="0" numFmtId="4"/>
  </dataFields>
  <formats count="24">
    <format dxfId="179">
      <pivotArea type="all" dataOnly="0" outline="0" fieldPosition="0"/>
    </format>
    <format dxfId="178">
      <pivotArea field="6" type="button" dataOnly="0" labelOnly="1" outline="0"/>
    </format>
    <format dxfId="177">
      <pivotArea dataOnly="0" labelOnly="1" outline="0" fieldPosition="0">
        <references count="1">
          <reference field="4294967294" count="6">
            <x v="0"/>
            <x v="1"/>
            <x v="2"/>
            <x v="3"/>
            <x v="4"/>
            <x v="5"/>
          </reference>
        </references>
      </pivotArea>
    </format>
    <format dxfId="176">
      <pivotArea field="6" type="button" dataOnly="0" labelOnly="1" outline="0"/>
    </format>
    <format dxfId="175">
      <pivotArea dataOnly="0" labelOnly="1" outline="0" fieldPosition="0">
        <references count="1">
          <reference field="4294967294" count="6">
            <x v="0"/>
            <x v="1"/>
            <x v="2"/>
            <x v="3"/>
            <x v="4"/>
            <x v="5"/>
          </reference>
        </references>
      </pivotArea>
    </format>
    <format dxfId="174">
      <pivotArea dataOnly="0" grandRow="1" outline="0" axis="axisRow" fieldPosition="0"/>
    </format>
    <format dxfId="173">
      <pivotArea dataOnly="0" grandRow="1" outline="0" axis="axisRow" fieldPosition="0"/>
    </format>
    <format dxfId="172">
      <pivotArea dataOnly="0" outline="0" fieldPosition="0">
        <references count="1">
          <reference field="4294967294" count="6">
            <x v="0"/>
            <x v="1"/>
            <x v="2"/>
            <x v="3"/>
            <x v="4"/>
            <x v="5"/>
          </reference>
        </references>
      </pivotArea>
    </format>
    <format dxfId="171">
      <pivotArea dataOnly="0" labelOnly="1" outline="0" fieldPosition="0">
        <references count="1">
          <reference field="4294967294" count="6">
            <x v="0"/>
            <x v="1"/>
            <x v="2"/>
            <x v="3"/>
            <x v="4"/>
            <x v="5"/>
          </reference>
        </references>
      </pivotArea>
    </format>
    <format dxfId="170">
      <pivotArea dataOnly="0" labelOnly="1" outline="0" fieldPosition="0">
        <references count="1">
          <reference field="4294967294" count="6">
            <x v="0"/>
            <x v="1"/>
            <x v="2"/>
            <x v="3"/>
            <x v="4"/>
            <x v="5"/>
          </reference>
        </references>
      </pivotArea>
    </format>
    <format dxfId="169">
      <pivotArea grandRow="1" outline="0" collapsedLevelsAreSubtotals="1" fieldPosition="0"/>
    </format>
    <format dxfId="168">
      <pivotArea dataOnly="0" labelOnly="1" grandRow="1" outline="0" fieldPosition="0"/>
    </format>
    <format dxfId="167">
      <pivotArea outline="0" fieldPosition="0">
        <references count="1">
          <reference field="4294967294" count="1">
            <x v="0"/>
          </reference>
        </references>
      </pivotArea>
    </format>
    <format dxfId="166">
      <pivotArea outline="0" fieldPosition="0">
        <references count="1">
          <reference field="4294967294" count="1">
            <x v="1"/>
          </reference>
        </references>
      </pivotArea>
    </format>
    <format dxfId="165">
      <pivotArea outline="0" fieldPosition="0">
        <references count="1">
          <reference field="4294967294" count="1">
            <x v="2"/>
          </reference>
        </references>
      </pivotArea>
    </format>
    <format dxfId="164">
      <pivotArea outline="0" fieldPosition="0">
        <references count="1">
          <reference field="4294967294" count="1">
            <x v="3"/>
          </reference>
        </references>
      </pivotArea>
    </format>
    <format dxfId="163">
      <pivotArea outline="0" fieldPosition="0">
        <references count="1">
          <reference field="4294967294" count="1">
            <x v="4"/>
          </reference>
        </references>
      </pivotArea>
    </format>
    <format dxfId="162">
      <pivotArea outline="0" fieldPosition="0">
        <references count="1">
          <reference field="4294967294" count="1">
            <x v="5"/>
          </reference>
        </references>
      </pivotArea>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1" colPageCount="1"/>
  <pivotFields count="25">
    <pivotField axis="axisPage" compact="0" outline="0" showAll="0">
      <items count="5">
        <item m="1" x="2"/>
        <item m="1" x="3"/>
        <item m="1" x="1"/>
        <item x="0"/>
        <item t="default"/>
      </items>
    </pivotField>
    <pivotField compact="0" outline="0" showAll="0" defaultSubtotal="0"/>
    <pivotField compact="0" outline="0" showAll="0" defaultSubtotal="0"/>
    <pivotField axis="axisRow" compact="0" outline="0" showAll="0" sortType="descending">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autoSortScope>
        <pivotArea dataOnly="0" outline="0" fieldPosition="0">
          <references count="1">
            <reference field="4294967294" count="1" selected="0">
              <x v="5"/>
            </reference>
          </references>
        </pivotArea>
      </autoSortScope>
    </pivotField>
    <pivotField compact="0" outline="0" showAll="0"/>
    <pivotField compact="0" outline="0" showAll="0"/>
    <pivotField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3"/>
  </rowFields>
  <rowItems count="2">
    <i>
      <x v="1606"/>
    </i>
    <i t="grand">
      <x/>
    </i>
  </rowItems>
  <colFields count="1">
    <field x="-2"/>
  </colFields>
  <colItems count="6">
    <i>
      <x/>
    </i>
    <i i="1">
      <x v="1"/>
    </i>
    <i i="2">
      <x v="2"/>
    </i>
    <i i="3">
      <x v="3"/>
    </i>
    <i i="4">
      <x v="4"/>
    </i>
    <i i="5">
      <x v="5"/>
    </i>
  </colItems>
  <pageFields count="1">
    <pageField fld="0" hier="-1"/>
  </pageFields>
  <dataFields count="6">
    <dataField name="Current Amount" fld="14" baseField="3" baseItem="505" numFmtId="4"/>
    <dataField name="1-30 Amoung" fld="15" baseField="3" baseItem="505" numFmtId="4"/>
    <dataField name="31-60 Amount" fld="16" baseField="3" baseItem="505" numFmtId="4"/>
    <dataField name="61-90 Amount" fld="17" baseField="3" baseItem="505" numFmtId="4"/>
    <dataField name="Over 90 Amount" fld="18" baseField="3" baseItem="505" numFmtId="4"/>
    <dataField name="Total Aged" fld="19" baseField="3" baseItem="505" numFmtId="4"/>
  </dataFields>
  <formats count="26">
    <format dxfId="155">
      <pivotArea type="all" dataOnly="0" outline="0" fieldPosition="0"/>
    </format>
    <format dxfId="154">
      <pivotArea field="6" type="button" dataOnly="0" labelOnly="1" outline="0"/>
    </format>
    <format dxfId="153">
      <pivotArea dataOnly="0" labelOnly="1" outline="0" fieldPosition="0">
        <references count="1">
          <reference field="4294967294" count="6">
            <x v="0"/>
            <x v="1"/>
            <x v="2"/>
            <x v="3"/>
            <x v="4"/>
            <x v="5"/>
          </reference>
        </references>
      </pivotArea>
    </format>
    <format dxfId="152">
      <pivotArea field="6" type="button" dataOnly="0" labelOnly="1" outline="0"/>
    </format>
    <format dxfId="151">
      <pivotArea dataOnly="0" labelOnly="1" outline="0" fieldPosition="0">
        <references count="1">
          <reference field="4294967294" count="6">
            <x v="0"/>
            <x v="1"/>
            <x v="2"/>
            <x v="3"/>
            <x v="4"/>
            <x v="5"/>
          </reference>
        </references>
      </pivotArea>
    </format>
    <format dxfId="150">
      <pivotArea dataOnly="0" grandRow="1" outline="0" axis="axisRow" fieldPosition="0"/>
    </format>
    <format dxfId="149">
      <pivotArea dataOnly="0" grandRow="1" outline="0" axis="axisRow" fieldPosition="0"/>
    </format>
    <format dxfId="148">
      <pivotArea dataOnly="0" outline="0" fieldPosition="0">
        <references count="1">
          <reference field="4294967294" count="6">
            <x v="0"/>
            <x v="1"/>
            <x v="2"/>
            <x v="3"/>
            <x v="4"/>
            <x v="5"/>
          </reference>
        </references>
      </pivotArea>
    </format>
    <format dxfId="147">
      <pivotArea field="3" type="button" dataOnly="0" labelOnly="1" outline="0" axis="axisRow" fieldPosition="0"/>
    </format>
    <format dxfId="146">
      <pivotArea dataOnly="0" labelOnly="1" outline="0" fieldPosition="0">
        <references count="1">
          <reference field="4294967294" count="6">
            <x v="0"/>
            <x v="1"/>
            <x v="2"/>
            <x v="3"/>
            <x v="4"/>
            <x v="5"/>
          </reference>
        </references>
      </pivotArea>
    </format>
    <format dxfId="145">
      <pivotArea field="3" type="button" dataOnly="0" labelOnly="1" outline="0" axis="axisRow" fieldPosition="0"/>
    </format>
    <format dxfId="144">
      <pivotArea dataOnly="0" labelOnly="1" outline="0" fieldPosition="0">
        <references count="1">
          <reference field="4294967294" count="6">
            <x v="0"/>
            <x v="1"/>
            <x v="2"/>
            <x v="3"/>
            <x v="4"/>
            <x v="5"/>
          </reference>
        </references>
      </pivotArea>
    </format>
    <format dxfId="143">
      <pivotArea grandRow="1" outline="0" collapsedLevelsAreSubtotals="1" fieldPosition="0"/>
    </format>
    <format dxfId="142">
      <pivotArea dataOnly="0" labelOnly="1" grandRow="1" outline="0" fieldPosition="0"/>
    </format>
    <format dxfId="141">
      <pivotArea outline="0" fieldPosition="0">
        <references count="1">
          <reference field="4294967294" count="1">
            <x v="0"/>
          </reference>
        </references>
      </pivotArea>
    </format>
    <format dxfId="140">
      <pivotArea outline="0" fieldPosition="0">
        <references count="1">
          <reference field="4294967294" count="1">
            <x v="1"/>
          </reference>
        </references>
      </pivotArea>
    </format>
    <format dxfId="139">
      <pivotArea outline="0" fieldPosition="0">
        <references count="1">
          <reference field="4294967294" count="1">
            <x v="2"/>
          </reference>
        </references>
      </pivotArea>
    </format>
    <format dxfId="138">
      <pivotArea outline="0" fieldPosition="0">
        <references count="1">
          <reference field="4294967294" count="1">
            <x v="3"/>
          </reference>
        </references>
      </pivotArea>
    </format>
    <format dxfId="137">
      <pivotArea outline="0" fieldPosition="0">
        <references count="1">
          <reference field="4294967294" count="1">
            <x v="4"/>
          </reference>
        </references>
      </pivotArea>
    </format>
    <format dxfId="136">
      <pivotArea outline="0" fieldPosition="0">
        <references count="1">
          <reference field="4294967294" count="1">
            <x v="5"/>
          </reference>
        </references>
      </pivotArea>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 dxfId="133">
      <pivotArea outline="0" fieldPosition="0">
        <references count="1">
          <reference field="4294967294" count="1">
            <x v="2"/>
          </reference>
        </references>
      </pivotArea>
    </format>
    <format dxfId="132">
      <pivotArea outline="0" fieldPosition="0">
        <references count="1">
          <reference field="4294967294" count="1">
            <x v="3"/>
          </reference>
        </references>
      </pivotArea>
    </format>
    <format dxfId="131">
      <pivotArea outline="0" fieldPosition="0">
        <references count="1">
          <reference field="4294967294" count="1">
            <x v="4"/>
          </reference>
        </references>
      </pivotArea>
    </format>
    <format dxfId="130">
      <pivotArea outline="0" fieldPosition="0">
        <references count="1">
          <reference field="4294967294" count="1">
            <x v="5"/>
          </reference>
        </references>
      </pivotArea>
    </format>
  </formats>
  <conditionalFormats count="2">
    <conditionalFormat type="all" priority="2">
      <pivotAreas count="1">
        <pivotArea type="data" outline="0" collapsedLevelsAreSubtotals="1" fieldPosition="0">
          <references count="2">
            <reference field="4294967294" count="1" selected="0">
              <x v="5"/>
            </reference>
            <reference field="3" count="395" selected="0">
              <x v="0"/>
              <x v="1"/>
              <x v="2"/>
              <x v="3"/>
              <x v="4"/>
              <x v="5"/>
              <x v="6"/>
              <x v="7"/>
              <x v="8"/>
              <x v="9"/>
              <x v="10"/>
              <x v="11"/>
              <x v="12"/>
              <x v="13"/>
              <x v="14"/>
              <x v="15"/>
              <x v="16"/>
              <x v="17"/>
              <x v="18"/>
              <x v="19"/>
              <x v="20"/>
              <x v="21"/>
              <x v="22"/>
              <x v="23"/>
              <x v="24"/>
              <x v="25"/>
              <x v="26"/>
              <x v="27"/>
              <x v="28"/>
              <x v="29"/>
              <x v="30"/>
              <x v="31"/>
              <x v="32"/>
              <x v="33"/>
              <x v="34"/>
              <x v="35"/>
              <x v="36"/>
              <x v="38"/>
              <x v="39"/>
              <x v="40"/>
              <x v="41"/>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8"/>
              <x v="199"/>
              <x v="200"/>
              <x v="201"/>
              <x v="202"/>
              <x v="203"/>
              <x v="204"/>
              <x v="205"/>
              <x v="206"/>
              <x v="207"/>
              <x v="208"/>
              <x v="209"/>
              <x v="210"/>
              <x v="211"/>
              <x v="212"/>
              <x v="213"/>
              <x v="214"/>
              <x v="215"/>
              <x v="216"/>
              <x v="218"/>
              <x v="219"/>
              <x v="220"/>
              <x v="221"/>
              <x v="222"/>
              <x v="223"/>
              <x v="224"/>
              <x v="225"/>
              <x v="226"/>
              <x v="227"/>
              <x v="228"/>
              <x v="229"/>
              <x v="230"/>
              <x v="231"/>
              <x v="232"/>
              <x v="233"/>
              <x v="234"/>
              <x v="235"/>
              <x v="236"/>
              <x v="237"/>
              <x v="238"/>
              <x v="239"/>
              <x v="240"/>
              <x v="241"/>
              <x v="242"/>
              <x v="243"/>
              <x v="244"/>
              <x v="245"/>
              <x v="246"/>
              <x v="247"/>
              <x v="248"/>
              <x v="249"/>
              <x v="250"/>
              <x v="251"/>
              <x v="252"/>
              <x v="253"/>
              <x v="254"/>
              <x v="255"/>
              <x v="256"/>
              <x v="258"/>
              <x v="259"/>
              <x v="260"/>
              <x v="261"/>
              <x v="262"/>
              <x v="263"/>
              <x v="264"/>
              <x v="265"/>
              <x v="266"/>
              <x v="267"/>
              <x v="268"/>
              <x v="269"/>
              <x v="270"/>
              <x v="271"/>
              <x v="272"/>
              <x v="273"/>
              <x v="274"/>
              <x v="275"/>
              <x v="276"/>
              <x v="277"/>
              <x v="278"/>
              <x v="279"/>
              <x v="280"/>
              <x v="281"/>
              <x v="282"/>
              <x v="283"/>
              <x v="284"/>
              <x v="285"/>
              <x v="286"/>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3"/>
            </reference>
          </references>
        </pivotArea>
      </pivotAreas>
    </conditionalFormat>
    <conditionalFormat type="all" priority="1">
      <pivotAreas count="1">
        <pivotArea type="data" outline="0" collapsedLevelsAreSubtotals="1" fieldPosition="0">
          <references count="2">
            <reference field="4294967294" count="1" selected="0">
              <x v="5"/>
            </reference>
            <reference field="3" count="1151"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x v="115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2" adjustColumnWidth="0" connectionId="1" autoFormatId="16" applyNumberFormats="0" applyBorderFormats="0" applyFontFormats="0" applyPatternFormats="0" applyAlignmentFormats="0" applyWidthHeightFormats="0">
  <queryTableRefresh nextId="26">
    <queryTableFields count="25">
      <queryTableField id="1" name="ARCo" tableColumnId="1"/>
      <queryTableField id="2" name="GLDept# " tableColumnId="2"/>
      <queryTableField id="3" name="GLDeptName" tableColumnId="3"/>
      <queryTableField id="4" name="POCName" tableColumnId="4"/>
      <queryTableField id="5" name="ProjectManagers" tableColumnId="5"/>
      <queryTableField id="6" name="ContractDesc" tableColumnId="6"/>
      <queryTableField id="7" name="CustomerName" tableColumnId="7"/>
      <queryTableField id="8" name="Customer#" tableColumnId="8"/>
      <queryTableField id="9" name="Contract#" tableColumnId="9"/>
      <queryTableField id="10" name="Invoice#" tableColumnId="10"/>
      <queryTableField id="11" name="InvoiceDate" tableColumnId="11"/>
      <queryTableField id="12" name="DueDate" tableColumnId="12"/>
      <queryTableField id="13" name="TotalInvoiced" tableColumnId="13"/>
      <queryTableField id="14" name="DaysPastDue" tableColumnId="14"/>
      <queryTableField id="15" name="Current" tableColumnId="15"/>
      <queryTableField id="16" name="Aged1to30" tableColumnId="16"/>
      <queryTableField id="17" name="Aged31to60" tableColumnId="17"/>
      <queryTableField id="18" name="Aged61to90" tableColumnId="18"/>
      <queryTableField id="19" name="AgedOver90" tableColumnId="19"/>
      <queryTableField id="20" name="TotalAged" tableColumnId="20"/>
      <queryTableField id="21" name="Retainage" tableColumnId="21"/>
      <queryTableField id="22" name="Paid" tableColumnId="22"/>
      <queryTableField id="23" name="CollectionNotes" tableColumnId="23"/>
      <queryTableField id="24" name="FinancialPeriod" tableColumnId="24"/>
      <queryTableField id="25" name="AsOfDate"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e_ExternalData_2" displayName="Table_ExternalData_2" ref="A9:Y11" tableType="queryTable" insertRow="1" totalsRowCount="1" headerRowDxfId="206" dataDxfId="205" totalsRowDxfId="204">
  <autoFilter ref="A9:Y10"/>
  <tableColumns count="25">
    <tableColumn id="1" uniqueName="1" name="ARCo" totalsRowLabel="Totals" queryTableFieldId="1" dataDxfId="24" totalsRowDxfId="25"/>
    <tableColumn id="2" uniqueName="2" name="GLDept# " queryTableFieldId="2" dataDxfId="23" totalsRowDxfId="26"/>
    <tableColumn id="3" uniqueName="3" name="GLDeptName" queryTableFieldId="3" dataDxfId="22" totalsRowDxfId="27"/>
    <tableColumn id="4" uniqueName="4" name="POCName" queryTableFieldId="4" dataDxfId="21" totalsRowDxfId="28"/>
    <tableColumn id="5" uniqueName="5" name="ProjectManagers" queryTableFieldId="5" dataDxfId="20" totalsRowDxfId="29"/>
    <tableColumn id="6" uniqueName="6" name="ContractDesc" queryTableFieldId="6" dataDxfId="19" totalsRowDxfId="30"/>
    <tableColumn id="7" uniqueName="7" name="CustomerName" queryTableFieldId="7" dataDxfId="18" totalsRowDxfId="31"/>
    <tableColumn id="8" uniqueName="8" name="Customer#" queryTableFieldId="8" dataDxfId="17" totalsRowDxfId="32"/>
    <tableColumn id="9" uniqueName="9" name="Contract#" queryTableFieldId="9" dataDxfId="16" totalsRowDxfId="33"/>
    <tableColumn id="10" uniqueName="10" name="Invoice#" queryTableFieldId="10" dataDxfId="15" totalsRowDxfId="34"/>
    <tableColumn id="11" uniqueName="11" name="InvoiceDate" queryTableFieldId="11" dataDxfId="14" totalsRowDxfId="35"/>
    <tableColumn id="12" uniqueName="12" name="DueDate" queryTableFieldId="12" dataDxfId="13" totalsRowDxfId="36"/>
    <tableColumn id="13" uniqueName="13" name="TotalInvoiced" totalsRowFunction="sum" queryTableFieldId="13" dataDxfId="12" totalsRowDxfId="37"/>
    <tableColumn id="14" uniqueName="14" name="DaysPastDue" queryTableFieldId="14" dataDxfId="11" totalsRowDxfId="38"/>
    <tableColumn id="15" uniqueName="15" name="Current" totalsRowFunction="sum" queryTableFieldId="15" dataDxfId="10" totalsRowDxfId="39"/>
    <tableColumn id="16" uniqueName="16" name="Aged1to30" totalsRowFunction="sum" queryTableFieldId="16" dataDxfId="9" totalsRowDxfId="40"/>
    <tableColumn id="17" uniqueName="17" name="Aged31to60" totalsRowFunction="sum" queryTableFieldId="17" dataDxfId="8" totalsRowDxfId="41"/>
    <tableColumn id="18" uniqueName="18" name="Aged61to90" totalsRowFunction="sum" queryTableFieldId="18" dataDxfId="7" totalsRowDxfId="42"/>
    <tableColumn id="19" uniqueName="19" name="AgedOver90" totalsRowFunction="sum" queryTableFieldId="19" dataDxfId="6" totalsRowDxfId="43"/>
    <tableColumn id="20" uniqueName="20" name="TotalAged" totalsRowFunction="sum" queryTableFieldId="20" dataDxfId="5" totalsRowDxfId="44"/>
    <tableColumn id="21" uniqueName="21" name="Retainage" totalsRowFunction="sum" queryTableFieldId="21" dataDxfId="4" totalsRowDxfId="45"/>
    <tableColumn id="22" uniqueName="22" name="Paid" totalsRowFunction="sum" queryTableFieldId="22" dataDxfId="3" totalsRowDxfId="46"/>
    <tableColumn id="23" uniqueName="23" name="CollectionNotes" queryTableFieldId="23" dataDxfId="2" totalsRowDxfId="47"/>
    <tableColumn id="24" uniqueName="24" name="FinancialPeriod" queryTableFieldId="24" dataDxfId="1" totalsRowDxfId="48"/>
    <tableColumn id="25" uniqueName="25" name="AsOfDate" queryTableFieldId="25" dataDxfId="0" totalsRowDxfId="49"/>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1.xml"/><Relationship Id="rId5" Type="http://schemas.openxmlformats.org/officeDocument/2006/relationships/image" Target="../media/image4.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ivotTable" Target="../pivotTables/pivotTable2.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3.xml"/><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erview"/>
  <dimension ref="B1:K41"/>
  <sheetViews>
    <sheetView showGridLines="0" tabSelected="1" workbookViewId="0">
      <selection activeCell="E6" sqref="E6"/>
    </sheetView>
  </sheetViews>
  <sheetFormatPr defaultRowHeight="12" x14ac:dyDescent="0.2"/>
  <cols>
    <col min="2" max="2" width="2" customWidth="1"/>
    <col min="3" max="3" width="35.33203125" customWidth="1"/>
    <col min="4" max="4" width="20.1640625" customWidth="1"/>
    <col min="5" max="5" width="18.1640625" customWidth="1"/>
    <col min="6" max="6" width="3.6640625" customWidth="1"/>
    <col min="7" max="7" width="2.5" customWidth="1"/>
    <col min="8" max="8" width="3.6640625" customWidth="1"/>
    <col min="9" max="9" width="13.33203125" customWidth="1"/>
    <col min="10" max="10" width="23.33203125" customWidth="1"/>
    <col min="11" max="11" width="11.6640625" customWidth="1"/>
    <col min="12" max="12" width="3.33203125" customWidth="1"/>
    <col min="13" max="13" width="21.1640625" customWidth="1"/>
  </cols>
  <sheetData>
    <row r="1" spans="2:11" ht="12.75" thickBot="1" x14ac:dyDescent="0.25"/>
    <row r="2" spans="2:11" x14ac:dyDescent="0.2">
      <c r="B2" s="17"/>
      <c r="C2" s="18"/>
      <c r="D2" s="18"/>
      <c r="E2" s="18"/>
      <c r="F2" s="18"/>
      <c r="G2" s="19"/>
      <c r="J2" s="33" t="s">
        <v>26</v>
      </c>
    </row>
    <row r="3" spans="2:11" ht="23.25" x14ac:dyDescent="0.35">
      <c r="B3" s="20"/>
      <c r="C3" s="82" t="s">
        <v>27</v>
      </c>
      <c r="D3" s="82"/>
      <c r="E3" s="82"/>
      <c r="F3" s="82"/>
      <c r="G3" s="13"/>
    </row>
    <row r="4" spans="2:11" ht="9" customHeight="1" thickBot="1" x14ac:dyDescent="0.45">
      <c r="B4" s="20"/>
      <c r="C4" s="8"/>
      <c r="D4" s="8"/>
      <c r="E4" s="8"/>
      <c r="F4" s="8"/>
      <c r="G4" s="13"/>
    </row>
    <row r="5" spans="2:11" ht="7.5" customHeight="1" x14ac:dyDescent="0.4">
      <c r="B5" s="20"/>
      <c r="C5" s="8"/>
      <c r="D5" s="9"/>
      <c r="E5" s="10"/>
      <c r="F5" s="11"/>
      <c r="G5" s="13"/>
    </row>
    <row r="6" spans="2:11" ht="15" x14ac:dyDescent="0.25">
      <c r="B6" s="20"/>
      <c r="C6" s="21"/>
      <c r="D6" s="12" t="s">
        <v>8</v>
      </c>
      <c r="E6" s="38">
        <f ca="1">EOMONTH(NOW(),-1)+1</f>
        <v>42309</v>
      </c>
      <c r="F6" s="13"/>
      <c r="G6" s="13"/>
      <c r="I6" s="40" t="str">
        <f>Table_ExternalData_2[[#Headers],[Current]]</f>
        <v>Current</v>
      </c>
      <c r="J6" s="23">
        <f>Table_ExternalData_2[[#Totals],[Current]]</f>
        <v>0</v>
      </c>
      <c r="K6" s="5" t="e">
        <f>J6/$J$13</f>
        <v>#DIV/0!</v>
      </c>
    </row>
    <row r="7" spans="2:11" ht="15" x14ac:dyDescent="0.25">
      <c r="B7" s="20"/>
      <c r="C7" s="21"/>
      <c r="D7" s="12" t="s">
        <v>9</v>
      </c>
      <c r="E7" s="6" t="s">
        <v>13</v>
      </c>
      <c r="F7" s="13"/>
      <c r="G7" s="13"/>
      <c r="I7" s="40" t="str">
        <f>Table_ExternalData_2[[#Headers],[Aged1to30]]</f>
        <v>Aged1to30</v>
      </c>
      <c r="J7" s="24">
        <f>Table_ExternalData_2[[#Totals],[Aged1to30]]</f>
        <v>0</v>
      </c>
      <c r="K7" s="5" t="e">
        <f>J7/$J$13</f>
        <v>#DIV/0!</v>
      </c>
    </row>
    <row r="8" spans="2:11" ht="15" x14ac:dyDescent="0.25">
      <c r="B8" s="20"/>
      <c r="C8" s="21"/>
      <c r="D8" s="12" t="s">
        <v>2</v>
      </c>
      <c r="E8" s="6" t="s">
        <v>13</v>
      </c>
      <c r="F8" s="13"/>
      <c r="G8" s="13"/>
      <c r="I8" s="40" t="str">
        <f>Table_ExternalData_2[[#Headers],[Aged31to60]]</f>
        <v>Aged31to60</v>
      </c>
      <c r="J8" s="41">
        <f>Table_ExternalData_2[[#Totals],[Aged31to60]]</f>
        <v>0</v>
      </c>
      <c r="K8" s="5" t="e">
        <f>J8/$J$13</f>
        <v>#DIV/0!</v>
      </c>
    </row>
    <row r="9" spans="2:11" ht="15" x14ac:dyDescent="0.25">
      <c r="B9" s="20"/>
      <c r="C9" s="21"/>
      <c r="D9" s="12" t="s">
        <v>10</v>
      </c>
      <c r="E9" s="6" t="s">
        <v>13</v>
      </c>
      <c r="F9" s="13"/>
      <c r="G9" s="13"/>
      <c r="I9" s="40" t="str">
        <f>Table_ExternalData_2[[#Headers],[Aged61to90]]</f>
        <v>Aged61to90</v>
      </c>
      <c r="J9" s="25">
        <f>Table_ExternalData_2[[#Totals],[Aged61to90]]</f>
        <v>0</v>
      </c>
      <c r="K9" s="5" t="e">
        <f>J9/$J$13</f>
        <v>#DIV/0!</v>
      </c>
    </row>
    <row r="10" spans="2:11" ht="15" x14ac:dyDescent="0.25">
      <c r="B10" s="20"/>
      <c r="C10" s="21"/>
      <c r="D10" s="12" t="s">
        <v>3</v>
      </c>
      <c r="E10" s="7"/>
      <c r="F10" s="13"/>
      <c r="G10" s="13"/>
      <c r="I10" s="40" t="str">
        <f>Table_ExternalData_2[[#Headers],[AgedOver90]]</f>
        <v>AgedOver90</v>
      </c>
      <c r="J10" s="26">
        <f>Table_ExternalData_2[[#Totals],[AgedOver90]]</f>
        <v>0</v>
      </c>
      <c r="K10" s="5" t="e">
        <f>J10/$J$13</f>
        <v>#DIV/0!</v>
      </c>
    </row>
    <row r="11" spans="2:11" ht="15" x14ac:dyDescent="0.25">
      <c r="B11" s="20"/>
      <c r="C11" s="21"/>
      <c r="D11" s="12" t="s">
        <v>11</v>
      </c>
      <c r="E11" s="7" t="s">
        <v>13</v>
      </c>
      <c r="F11" s="13"/>
      <c r="G11" s="13"/>
      <c r="I11" s="39"/>
      <c r="J11" s="43"/>
      <c r="K11" s="39"/>
    </row>
    <row r="12" spans="2:11" ht="15" x14ac:dyDescent="0.25">
      <c r="B12" s="20"/>
      <c r="C12" s="21"/>
      <c r="D12" s="12"/>
      <c r="E12" s="22"/>
      <c r="F12" s="13"/>
      <c r="G12" s="13"/>
      <c r="I12" s="40" t="str">
        <f>Table_ExternalData_2[[#Headers],[Retainage]]</f>
        <v>Retainage</v>
      </c>
      <c r="J12" s="44">
        <f>Table_ExternalData_2[[#Totals],[Retainage]]</f>
        <v>0</v>
      </c>
      <c r="K12" s="39"/>
    </row>
    <row r="13" spans="2:11" ht="15" x14ac:dyDescent="0.25">
      <c r="B13" s="20"/>
      <c r="C13" s="21"/>
      <c r="D13" s="12"/>
      <c r="E13" s="22"/>
      <c r="F13" s="13"/>
      <c r="G13" s="13"/>
      <c r="I13" s="40" t="str">
        <f>Table_ExternalData_2[[#Headers],[TotalAged]]</f>
        <v>TotalAged</v>
      </c>
      <c r="J13" s="42">
        <f>Table_ExternalData_2[[#Totals],[TotalAged]]</f>
        <v>0</v>
      </c>
      <c r="K13" s="5" t="e">
        <f>J13/$J$13</f>
        <v>#DIV/0!</v>
      </c>
    </row>
    <row r="14" spans="2:11" ht="20.25" customHeight="1" thickBot="1" x14ac:dyDescent="0.25">
      <c r="B14" s="20"/>
      <c r="C14" s="21"/>
      <c r="D14" s="37" t="s">
        <v>36</v>
      </c>
      <c r="E14" s="36">
        <f>MIN(Table_ExternalData_2[AsOfDate])</f>
        <v>0</v>
      </c>
      <c r="F14" s="16"/>
      <c r="G14" s="13"/>
    </row>
    <row r="15" spans="2:11" ht="12.75" thickBot="1" x14ac:dyDescent="0.25">
      <c r="B15" s="14"/>
      <c r="C15" s="15"/>
      <c r="D15" s="15"/>
      <c r="E15" s="15"/>
      <c r="F15" s="15"/>
      <c r="G15" s="16"/>
    </row>
    <row r="17" spans="2:7" ht="12.75" thickBot="1" x14ac:dyDescent="0.25"/>
    <row r="18" spans="2:7" ht="12.75" customHeight="1" thickTop="1" x14ac:dyDescent="0.2">
      <c r="B18" s="46"/>
      <c r="C18" s="83" t="s">
        <v>39</v>
      </c>
      <c r="D18" s="83"/>
      <c r="E18" s="83"/>
      <c r="F18" s="83"/>
      <c r="G18" s="47"/>
    </row>
    <row r="19" spans="2:7" ht="12" customHeight="1" x14ac:dyDescent="0.2">
      <c r="B19" s="48"/>
      <c r="C19" s="84"/>
      <c r="D19" s="84"/>
      <c r="E19" s="84"/>
      <c r="F19" s="84"/>
      <c r="G19" s="49"/>
    </row>
    <row r="20" spans="2:7" ht="15.75" x14ac:dyDescent="0.25">
      <c r="B20" s="52"/>
      <c r="C20" s="53"/>
      <c r="D20" s="53"/>
      <c r="E20" s="53"/>
      <c r="F20" s="53"/>
      <c r="G20" s="54"/>
    </row>
    <row r="21" spans="2:7" ht="12" customHeight="1" x14ac:dyDescent="0.2">
      <c r="B21" s="52"/>
      <c r="C21" s="100" t="s">
        <v>44</v>
      </c>
      <c r="D21" s="100"/>
      <c r="E21" s="100"/>
      <c r="F21" s="100"/>
      <c r="G21" s="55"/>
    </row>
    <row r="22" spans="2:7" x14ac:dyDescent="0.2">
      <c r="B22" s="56"/>
      <c r="C22" s="100"/>
      <c r="D22" s="100"/>
      <c r="E22" s="100"/>
      <c r="F22" s="100"/>
      <c r="G22" s="55"/>
    </row>
    <row r="23" spans="2:7" ht="12" customHeight="1" x14ac:dyDescent="0.2">
      <c r="B23" s="56"/>
      <c r="C23" s="100"/>
      <c r="D23" s="100"/>
      <c r="E23" s="100"/>
      <c r="F23" s="100"/>
      <c r="G23" s="55"/>
    </row>
    <row r="24" spans="2:7" x14ac:dyDescent="0.2">
      <c r="B24" s="56"/>
      <c r="C24" s="100"/>
      <c r="D24" s="100"/>
      <c r="E24" s="100"/>
      <c r="F24" s="100"/>
      <c r="G24" s="55"/>
    </row>
    <row r="25" spans="2:7" ht="12" customHeight="1" x14ac:dyDescent="0.2">
      <c r="B25" s="56"/>
      <c r="C25" s="100"/>
      <c r="D25" s="100"/>
      <c r="E25" s="100"/>
      <c r="F25" s="100"/>
      <c r="G25" s="55"/>
    </row>
    <row r="26" spans="2:7" x14ac:dyDescent="0.2">
      <c r="B26" s="57"/>
      <c r="C26" s="58"/>
      <c r="D26" s="58"/>
      <c r="E26" s="58"/>
      <c r="F26" s="58"/>
      <c r="G26" s="59"/>
    </row>
    <row r="27" spans="2:7" ht="12" customHeight="1" x14ac:dyDescent="0.2">
      <c r="B27" s="85" t="s">
        <v>17</v>
      </c>
      <c r="C27" s="86"/>
      <c r="D27" s="89" t="s">
        <v>45</v>
      </c>
      <c r="E27" s="90"/>
      <c r="F27" s="90"/>
      <c r="G27" s="91"/>
    </row>
    <row r="28" spans="2:7" ht="27" customHeight="1" x14ac:dyDescent="0.2">
      <c r="B28" s="87"/>
      <c r="C28" s="88"/>
      <c r="D28" s="92"/>
      <c r="E28" s="93"/>
      <c r="F28" s="93"/>
      <c r="G28" s="94"/>
    </row>
    <row r="29" spans="2:7" ht="12" customHeight="1" x14ac:dyDescent="0.2">
      <c r="B29" s="85" t="s">
        <v>40</v>
      </c>
      <c r="C29" s="86"/>
      <c r="D29" s="89" t="s">
        <v>46</v>
      </c>
      <c r="E29" s="90"/>
      <c r="F29" s="90"/>
      <c r="G29" s="91"/>
    </row>
    <row r="30" spans="2:7" ht="15" customHeight="1" x14ac:dyDescent="0.2">
      <c r="B30" s="87"/>
      <c r="C30" s="88"/>
      <c r="D30" s="92"/>
      <c r="E30" s="93"/>
      <c r="F30" s="93"/>
      <c r="G30" s="94"/>
    </row>
    <row r="31" spans="2:7" ht="12" customHeight="1" x14ac:dyDescent="0.2">
      <c r="B31" s="85" t="s">
        <v>41</v>
      </c>
      <c r="C31" s="86"/>
      <c r="D31" s="89" t="s">
        <v>47</v>
      </c>
      <c r="E31" s="90"/>
      <c r="F31" s="90"/>
      <c r="G31" s="91"/>
    </row>
    <row r="32" spans="2:7" ht="15" customHeight="1" x14ac:dyDescent="0.2">
      <c r="B32" s="87"/>
      <c r="C32" s="88"/>
      <c r="D32" s="92"/>
      <c r="E32" s="93"/>
      <c r="F32" s="93"/>
      <c r="G32" s="94"/>
    </row>
    <row r="33" spans="2:7" ht="12" customHeight="1" x14ac:dyDescent="0.2">
      <c r="B33" s="85" t="s">
        <v>42</v>
      </c>
      <c r="C33" s="86"/>
      <c r="D33" s="89" t="s">
        <v>48</v>
      </c>
      <c r="E33" s="90"/>
      <c r="F33" s="90"/>
      <c r="G33" s="91"/>
    </row>
    <row r="34" spans="2:7" ht="16.5" customHeight="1" x14ac:dyDescent="0.2">
      <c r="B34" s="87"/>
      <c r="C34" s="88"/>
      <c r="D34" s="92"/>
      <c r="E34" s="93"/>
      <c r="F34" s="93"/>
      <c r="G34" s="94"/>
    </row>
    <row r="35" spans="2:7" x14ac:dyDescent="0.2">
      <c r="B35" s="85" t="s">
        <v>43</v>
      </c>
      <c r="C35" s="86"/>
      <c r="D35" s="89" t="s">
        <v>49</v>
      </c>
      <c r="E35" s="90"/>
      <c r="F35" s="90"/>
      <c r="G35" s="91"/>
    </row>
    <row r="36" spans="2:7" ht="17.25" customHeight="1" x14ac:dyDescent="0.2">
      <c r="B36" s="87"/>
      <c r="C36" s="88"/>
      <c r="D36" s="92"/>
      <c r="E36" s="93"/>
      <c r="F36" s="93"/>
      <c r="G36" s="94"/>
    </row>
    <row r="37" spans="2:7" x14ac:dyDescent="0.2">
      <c r="B37" s="85" t="s">
        <v>5</v>
      </c>
      <c r="C37" s="86"/>
      <c r="D37" s="89" t="s">
        <v>50</v>
      </c>
      <c r="E37" s="90"/>
      <c r="F37" s="90"/>
      <c r="G37" s="91"/>
    </row>
    <row r="38" spans="2:7" ht="15.75" customHeight="1" x14ac:dyDescent="0.2">
      <c r="B38" s="87"/>
      <c r="C38" s="88"/>
      <c r="D38" s="92"/>
      <c r="E38" s="93"/>
      <c r="F38" s="93"/>
      <c r="G38" s="94"/>
    </row>
    <row r="39" spans="2:7" x14ac:dyDescent="0.2">
      <c r="B39" s="85" t="s">
        <v>4</v>
      </c>
      <c r="C39" s="86"/>
      <c r="D39" s="89" t="s">
        <v>51</v>
      </c>
      <c r="E39" s="90"/>
      <c r="F39" s="90"/>
      <c r="G39" s="91"/>
    </row>
    <row r="40" spans="2:7" ht="28.5" customHeight="1" thickBot="1" x14ac:dyDescent="0.25">
      <c r="B40" s="95"/>
      <c r="C40" s="96"/>
      <c r="D40" s="97"/>
      <c r="E40" s="98"/>
      <c r="F40" s="98"/>
      <c r="G40" s="99"/>
    </row>
    <row r="41" spans="2:7" ht="12.75" thickTop="1" x14ac:dyDescent="0.2"/>
  </sheetData>
  <sheetProtection formatCells="0" formatColumns="0" formatRows="0" selectLockedCells="1" sort="0" autoFilter="0" pivotTables="0"/>
  <dataConsolidate/>
  <mergeCells count="17">
    <mergeCell ref="B39:C40"/>
    <mergeCell ref="D39:G40"/>
    <mergeCell ref="D31:G32"/>
    <mergeCell ref="C21:F25"/>
    <mergeCell ref="B35:C36"/>
    <mergeCell ref="D35:G36"/>
    <mergeCell ref="B37:C38"/>
    <mergeCell ref="D37:G38"/>
    <mergeCell ref="C3:F3"/>
    <mergeCell ref="C18:F19"/>
    <mergeCell ref="B33:C34"/>
    <mergeCell ref="D33:G34"/>
    <mergeCell ref="B27:C28"/>
    <mergeCell ref="D27:G28"/>
    <mergeCell ref="B29:C30"/>
    <mergeCell ref="D29:G30"/>
    <mergeCell ref="B31:C32"/>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Refresh">
          <controlPr locked="0" defaultSize="0" autoLine="0" r:id="rId5">
            <anchor moveWithCells="1">
              <from>
                <xdr:col>4</xdr:col>
                <xdr:colOff>9525</xdr:colOff>
                <xdr:row>11</xdr:row>
                <xdr:rowOff>85725</xdr:rowOff>
              </from>
              <to>
                <xdr:col>5</xdr:col>
                <xdr:colOff>38100</xdr:colOff>
                <xdr:row>13</xdr:row>
                <xdr:rowOff>57150</xdr:rowOff>
              </to>
            </anchor>
          </controlPr>
        </control>
      </mc:Choice>
      <mc:Fallback>
        <control shapeId="3074"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ARSummary1"/>
  <dimension ref="A1:AU11"/>
  <sheetViews>
    <sheetView showGridLines="0" workbookViewId="0">
      <pane ySplit="9" topLeftCell="A10" activePane="bottomLeft" state="frozen"/>
      <selection pane="bottomLeft" activeCell="A10" sqref="A10"/>
    </sheetView>
  </sheetViews>
  <sheetFormatPr defaultColWidth="13.83203125" defaultRowHeight="12" x14ac:dyDescent="0.2"/>
  <cols>
    <col min="1" max="2" width="13.83203125" style="1" customWidth="1"/>
    <col min="3" max="3" width="13.83203125" customWidth="1"/>
    <col min="4" max="6" width="13.83203125" style="1" customWidth="1"/>
    <col min="7" max="7" width="22.33203125" style="1" customWidth="1"/>
    <col min="8" max="9" width="13.83203125" style="1" customWidth="1"/>
    <col min="10" max="10" width="18.1640625" style="1" customWidth="1"/>
    <col min="11" max="14" width="13.83203125" style="1" customWidth="1"/>
    <col min="15" max="21" width="13.83203125" customWidth="1"/>
    <col min="22" max="22" width="16" customWidth="1"/>
    <col min="23" max="23" width="115.33203125" customWidth="1"/>
    <col min="24" max="25" width="13.83203125" hidden="1" customWidth="1"/>
    <col min="27" max="46" width="13.83203125" style="1"/>
    <col min="48" max="16384" width="13.83203125" style="1"/>
  </cols>
  <sheetData>
    <row r="1" spans="1:47" ht="26.25" x14ac:dyDescent="0.4">
      <c r="C1" s="101" t="str">
        <f>Overview!C3</f>
        <v>Accounts Receivable Collections Worksheet</v>
      </c>
      <c r="D1" s="101"/>
      <c r="E1" s="101"/>
      <c r="F1" s="101"/>
      <c r="G1" s="101"/>
      <c r="H1" s="101"/>
      <c r="I1" s="29"/>
      <c r="M1"/>
      <c r="N1"/>
      <c r="Q1" s="1"/>
      <c r="R1" s="1"/>
      <c r="S1" s="1"/>
      <c r="T1" s="1"/>
      <c r="U1" s="1"/>
      <c r="V1" s="1"/>
      <c r="W1" s="1"/>
      <c r="X1" s="1"/>
      <c r="Y1" s="1"/>
      <c r="Z1" s="1"/>
      <c r="AS1"/>
      <c r="AU1" s="1"/>
    </row>
    <row r="2" spans="1:47" ht="12.75" thickBot="1" x14ac:dyDescent="0.25">
      <c r="C2" s="1"/>
      <c r="G2" s="51" t="s">
        <v>36</v>
      </c>
      <c r="H2" s="61">
        <f>MIN(Table_ExternalData_2[AsOfDate])</f>
        <v>0</v>
      </c>
      <c r="I2" s="40" t="str">
        <f>Table_ExternalData_2[[#Headers],[Current]]</f>
        <v>Current</v>
      </c>
      <c r="J2" s="23">
        <f>Table_ExternalData_2[[#Totals],[Current]]</f>
        <v>0</v>
      </c>
      <c r="K2" s="5" t="e">
        <f>J2/$J$7</f>
        <v>#DIV/0!</v>
      </c>
      <c r="M2"/>
      <c r="N2"/>
      <c r="Q2" s="1"/>
      <c r="R2" s="1"/>
      <c r="S2" s="1"/>
      <c r="T2" s="1"/>
      <c r="U2" s="1"/>
      <c r="V2" s="1"/>
      <c r="W2" s="1"/>
      <c r="X2" s="1"/>
      <c r="Y2" s="1"/>
      <c r="Z2" s="1"/>
      <c r="AS2"/>
      <c r="AU2" s="1"/>
    </row>
    <row r="3" spans="1:47" x14ac:dyDescent="0.2">
      <c r="C3" s="27" t="s">
        <v>12</v>
      </c>
      <c r="D3" s="27" t="s">
        <v>9</v>
      </c>
      <c r="E3" s="27" t="s">
        <v>2</v>
      </c>
      <c r="F3" s="27" t="s">
        <v>10</v>
      </c>
      <c r="G3" s="50" t="s">
        <v>3</v>
      </c>
      <c r="H3" s="27" t="s">
        <v>11</v>
      </c>
      <c r="I3" s="40" t="str">
        <f>Table_ExternalData_2[[#Headers],[Aged1to30]]</f>
        <v>Aged1to30</v>
      </c>
      <c r="J3" s="24">
        <f>Table_ExternalData_2[[#Totals],[Aged1to30]]</f>
        <v>0</v>
      </c>
      <c r="K3" s="5" t="e">
        <f t="shared" ref="K3:K7" si="0">J3/$J$7</f>
        <v>#DIV/0!</v>
      </c>
      <c r="O3" s="1"/>
      <c r="P3" s="1"/>
      <c r="Q3" s="1"/>
      <c r="R3" s="1"/>
      <c r="S3" s="1"/>
      <c r="T3" s="1"/>
      <c r="U3" s="1"/>
      <c r="V3" s="1"/>
      <c r="W3" s="1"/>
      <c r="X3" s="1"/>
      <c r="Y3" s="1"/>
      <c r="Z3" s="1"/>
      <c r="AS3"/>
      <c r="AU3" s="1"/>
    </row>
    <row r="4" spans="1:47" ht="12.75" x14ac:dyDescent="0.2">
      <c r="C4" s="45">
        <f ca="1">IF(paramShapshotMonth=0,"",paramShapshotMonth)</f>
        <v>42309</v>
      </c>
      <c r="D4" s="28" t="str">
        <f>IF(paramCompany=0,"",paramCompany)</f>
        <v/>
      </c>
      <c r="E4" s="28" t="str">
        <f>IF(paramCustomer=0,"",paramCustomer)</f>
        <v/>
      </c>
      <c r="F4" s="28" t="str">
        <f>IF(paramContract=0,"",paramContract)</f>
        <v/>
      </c>
      <c r="G4" s="28" t="str">
        <f>IF(paramInvoice=0,"",paramInvoice)</f>
        <v/>
      </c>
      <c r="H4" s="28" t="str">
        <f>IF(paramDepartment=0,"",paramDepartment)</f>
        <v/>
      </c>
      <c r="I4" s="40" t="str">
        <f>Table_ExternalData_2[[#Headers],[Aged31to60]]</f>
        <v>Aged31to60</v>
      </c>
      <c r="J4" s="41">
        <f>Table_ExternalData_2[[#Totals],[Aged31to60]]</f>
        <v>0</v>
      </c>
      <c r="K4" s="5" t="e">
        <f t="shared" si="0"/>
        <v>#DIV/0!</v>
      </c>
      <c r="O4" s="1"/>
      <c r="P4" s="1"/>
      <c r="Q4" s="1"/>
      <c r="R4" s="1"/>
      <c r="S4" s="1"/>
      <c r="T4" s="1"/>
      <c r="U4" s="1"/>
      <c r="V4" s="1"/>
      <c r="W4" s="1"/>
      <c r="X4" s="1"/>
      <c r="Y4" s="1"/>
      <c r="Z4" s="1"/>
      <c r="AS4"/>
      <c r="AU4" s="1"/>
    </row>
    <row r="5" spans="1:47" x14ac:dyDescent="0.2">
      <c r="C5" s="1"/>
      <c r="G5" s="3"/>
      <c r="I5" s="40" t="str">
        <f>Table_ExternalData_2[[#Headers],[Aged61to90]]</f>
        <v>Aged61to90</v>
      </c>
      <c r="J5" s="25">
        <f>Table_ExternalData_2[[#Totals],[Aged61to90]]</f>
        <v>0</v>
      </c>
      <c r="K5" s="5" t="e">
        <f t="shared" si="0"/>
        <v>#DIV/0!</v>
      </c>
      <c r="O5" s="1"/>
      <c r="P5" s="1"/>
      <c r="Q5" s="1"/>
      <c r="R5" s="1"/>
      <c r="S5" s="1"/>
      <c r="T5" s="1"/>
      <c r="U5" s="1"/>
      <c r="V5" s="1"/>
      <c r="W5" s="1"/>
      <c r="X5" s="1"/>
      <c r="Y5" s="1"/>
      <c r="Z5" s="1"/>
      <c r="AT5"/>
      <c r="AU5" s="1"/>
    </row>
    <row r="6" spans="1:47" x14ac:dyDescent="0.2">
      <c r="C6" s="1"/>
      <c r="D6" s="2"/>
      <c r="E6" s="4"/>
      <c r="I6" s="40" t="str">
        <f>Table_ExternalData_2[[#Headers],[AgedOver90]]</f>
        <v>AgedOver90</v>
      </c>
      <c r="J6" s="26">
        <f>Table_ExternalData_2[[#Totals],[AgedOver90]]</f>
        <v>0</v>
      </c>
      <c r="K6" s="5" t="e">
        <f t="shared" si="0"/>
        <v>#DIV/0!</v>
      </c>
      <c r="O6" s="1"/>
      <c r="P6" s="1"/>
      <c r="Q6" s="1"/>
      <c r="R6" s="1"/>
      <c r="S6" s="1"/>
      <c r="T6" s="1"/>
      <c r="U6" s="1"/>
      <c r="V6" s="1"/>
      <c r="W6" s="1"/>
      <c r="X6" s="1"/>
      <c r="Y6" s="1"/>
      <c r="Z6" s="1"/>
      <c r="AT6"/>
      <c r="AU6" s="1"/>
    </row>
    <row r="7" spans="1:47" ht="15" x14ac:dyDescent="0.25">
      <c r="C7" s="1"/>
      <c r="D7" s="30"/>
      <c r="E7" s="31"/>
      <c r="I7" s="40" t="str">
        <f>Table_ExternalData_2[[#Headers],[TotalAged]]</f>
        <v>TotalAged</v>
      </c>
      <c r="J7" s="42">
        <f>Table_ExternalData_2[[#Totals],[TotalAged]]</f>
        <v>0</v>
      </c>
      <c r="K7" s="5" t="e">
        <f t="shared" si="0"/>
        <v>#DIV/0!</v>
      </c>
      <c r="O7" s="1"/>
      <c r="P7" s="1"/>
      <c r="Q7" s="1"/>
      <c r="R7" s="1"/>
      <c r="S7" s="1"/>
      <c r="T7" s="1"/>
      <c r="U7" s="1"/>
      <c r="V7" s="1"/>
      <c r="W7" s="1"/>
      <c r="X7" s="1"/>
      <c r="Y7" s="1"/>
      <c r="Z7" s="1"/>
      <c r="AT7"/>
      <c r="AU7" s="1"/>
    </row>
    <row r="8" spans="1:47" x14ac:dyDescent="0.2">
      <c r="O8" s="1"/>
      <c r="P8" s="1"/>
      <c r="Q8" s="1"/>
      <c r="R8" s="1"/>
      <c r="S8" s="1"/>
      <c r="T8" s="1"/>
      <c r="U8" s="1"/>
      <c r="V8" s="1"/>
      <c r="W8" s="1"/>
      <c r="X8" s="1"/>
      <c r="Y8" s="1"/>
      <c r="Z8" s="1"/>
    </row>
    <row r="9" spans="1:47" x14ac:dyDescent="0.2">
      <c r="A9" s="32" t="s">
        <v>0</v>
      </c>
      <c r="B9" s="32" t="s">
        <v>52</v>
      </c>
      <c r="C9" s="66" t="s">
        <v>53</v>
      </c>
      <c r="D9" s="32" t="s">
        <v>7</v>
      </c>
      <c r="E9" s="32" t="s">
        <v>16</v>
      </c>
      <c r="F9" s="32" t="s">
        <v>25</v>
      </c>
      <c r="G9" s="32" t="s">
        <v>1</v>
      </c>
      <c r="H9" s="32" t="s">
        <v>54</v>
      </c>
      <c r="I9" s="32" t="s">
        <v>55</v>
      </c>
      <c r="J9" s="32" t="s">
        <v>56</v>
      </c>
      <c r="K9" s="32" t="s">
        <v>37</v>
      </c>
      <c r="L9" s="32" t="s">
        <v>57</v>
      </c>
      <c r="M9" s="32" t="s">
        <v>58</v>
      </c>
      <c r="N9" s="32" t="s">
        <v>59</v>
      </c>
      <c r="O9" s="71" t="s">
        <v>17</v>
      </c>
      <c r="P9" s="71" t="s">
        <v>18</v>
      </c>
      <c r="Q9" s="71" t="s">
        <v>19</v>
      </c>
      <c r="R9" s="71" t="s">
        <v>20</v>
      </c>
      <c r="S9" s="71" t="s">
        <v>21</v>
      </c>
      <c r="T9" s="71" t="s">
        <v>24</v>
      </c>
      <c r="U9" s="71" t="s">
        <v>22</v>
      </c>
      <c r="V9" s="71" t="s">
        <v>23</v>
      </c>
      <c r="W9" s="68" t="s">
        <v>15</v>
      </c>
      <c r="X9" s="67" t="s">
        <v>14</v>
      </c>
      <c r="Y9" s="67" t="s">
        <v>35</v>
      </c>
    </row>
    <row r="10" spans="1:47" x14ac:dyDescent="0.2">
      <c r="A10" s="62"/>
      <c r="B10" s="62"/>
      <c r="C10" s="63"/>
      <c r="D10" s="62"/>
      <c r="E10" s="62"/>
      <c r="F10" s="62"/>
      <c r="G10" s="62"/>
      <c r="H10" s="62"/>
      <c r="I10" s="62"/>
      <c r="J10" s="65"/>
      <c r="K10" s="64"/>
      <c r="L10" s="64"/>
      <c r="M10" s="70"/>
      <c r="N10" s="62"/>
      <c r="O10" s="72"/>
      <c r="P10" s="72"/>
      <c r="Q10" s="72"/>
      <c r="R10" s="72"/>
      <c r="S10" s="72"/>
      <c r="T10" s="72"/>
      <c r="U10" s="72"/>
      <c r="V10" s="72"/>
      <c r="W10" s="63"/>
      <c r="X10" s="69"/>
      <c r="Y10" s="69"/>
    </row>
    <row r="11" spans="1:47" x14ac:dyDescent="0.2">
      <c r="A11" s="76" t="s">
        <v>60</v>
      </c>
      <c r="B11" s="76"/>
      <c r="C11" s="77"/>
      <c r="D11" s="76"/>
      <c r="E11" s="76"/>
      <c r="F11" s="76"/>
      <c r="G11" s="76"/>
      <c r="H11" s="76"/>
      <c r="I11" s="76"/>
      <c r="J11" s="76"/>
      <c r="K11" s="76"/>
      <c r="L11" s="76"/>
      <c r="M11" s="78">
        <f>SUBTOTAL(109,Table_ExternalData_2[TotalInvoiced])</f>
        <v>0</v>
      </c>
      <c r="N11" s="76"/>
      <c r="O11" s="79">
        <f>SUBTOTAL(109,Table_ExternalData_2[Current])</f>
        <v>0</v>
      </c>
      <c r="P11" s="79">
        <f>SUBTOTAL(109,Table_ExternalData_2[Aged1to30])</f>
        <v>0</v>
      </c>
      <c r="Q11" s="79">
        <f>SUBTOTAL(109,Table_ExternalData_2[Aged31to60])</f>
        <v>0</v>
      </c>
      <c r="R11" s="79">
        <f>SUBTOTAL(109,Table_ExternalData_2[Aged61to90])</f>
        <v>0</v>
      </c>
      <c r="S11" s="79">
        <f>SUBTOTAL(109,Table_ExternalData_2[AgedOver90])</f>
        <v>0</v>
      </c>
      <c r="T11" s="79">
        <f>SUBTOTAL(109,Table_ExternalData_2[TotalAged])</f>
        <v>0</v>
      </c>
      <c r="U11" s="79">
        <f>SUBTOTAL(109,Table_ExternalData_2[Retainage])</f>
        <v>0</v>
      </c>
      <c r="V11" s="79">
        <f>SUBTOTAL(109,Table_ExternalData_2[Paid])</f>
        <v>0</v>
      </c>
      <c r="W11" s="80"/>
      <c r="X11" s="81"/>
      <c r="Y11" s="81"/>
    </row>
  </sheetData>
  <sheetProtection formatCells="0" formatColumns="0" formatRows="0" insertColumns="0" insertRows="0" deleteColumns="0" deleteRows="0" selectLockedCells="1" sort="0" autoFilter="0" pivotTables="0"/>
  <mergeCells count="1">
    <mergeCell ref="C1:H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btnRefresh">
          <controlPr locked="0" defaultSize="0" autoLine="0" r:id="rId5">
            <anchor moveWithCells="1">
              <from>
                <xdr:col>2</xdr:col>
                <xdr:colOff>28575</xdr:colOff>
                <xdr:row>0</xdr:row>
                <xdr:rowOff>28575</xdr:rowOff>
              </from>
              <to>
                <xdr:col>3</xdr:col>
                <xdr:colOff>257175</xdr:colOff>
                <xdr:row>0</xdr:row>
                <xdr:rowOff>323850</xdr:rowOff>
              </to>
            </anchor>
          </controlPr>
        </control>
      </mc:Choice>
      <mc:Fallback>
        <control shapeId="7169" r:id="rId4" name="btnRefresh"/>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Customer"/>
  <dimension ref="A1:G13"/>
  <sheetViews>
    <sheetView showGridLines="0" workbookViewId="0">
      <pane xSplit="1" ySplit="11" topLeftCell="B12" activePane="bottomRight" state="frozen"/>
      <selection pane="topRight" activeCell="B1" sqref="B1"/>
      <selection pane="bottomLeft" activeCell="A12" sqref="A12"/>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8" spans="1:7" x14ac:dyDescent="0.2">
      <c r="A8" s="60" t="s">
        <v>0</v>
      </c>
      <c r="B8" s="34" t="s">
        <v>6</v>
      </c>
    </row>
    <row r="9" spans="1:7" x14ac:dyDescent="0.2">
      <c r="A9" s="60" t="s">
        <v>7</v>
      </c>
      <c r="B9" s="34" t="s">
        <v>6</v>
      </c>
    </row>
    <row r="11" spans="1:7" x14ac:dyDescent="0.2">
      <c r="A11" s="35" t="s">
        <v>1</v>
      </c>
      <c r="B11" s="35" t="s">
        <v>30</v>
      </c>
      <c r="C11" s="35" t="s">
        <v>38</v>
      </c>
      <c r="D11" s="35" t="s">
        <v>32</v>
      </c>
      <c r="E11" s="35" t="s">
        <v>33</v>
      </c>
      <c r="F11" s="35" t="s">
        <v>34</v>
      </c>
      <c r="G11" s="35" t="s">
        <v>5</v>
      </c>
    </row>
    <row r="12" spans="1:7" x14ac:dyDescent="0.2">
      <c r="A12" s="34" t="s">
        <v>28</v>
      </c>
      <c r="B12" s="74">
        <v>0</v>
      </c>
      <c r="C12" s="74">
        <v>0</v>
      </c>
      <c r="D12" s="74">
        <v>0</v>
      </c>
      <c r="E12" s="74">
        <v>0</v>
      </c>
      <c r="F12" s="74">
        <v>0</v>
      </c>
      <c r="G12" s="74">
        <v>0</v>
      </c>
    </row>
    <row r="13" spans="1:7" x14ac:dyDescent="0.2">
      <c r="A13" s="35" t="s">
        <v>29</v>
      </c>
      <c r="B13" s="73">
        <v>0</v>
      </c>
      <c r="C13" s="73">
        <v>0</v>
      </c>
      <c r="D13" s="73">
        <v>0</v>
      </c>
      <c r="E13" s="73">
        <v>0</v>
      </c>
      <c r="F13" s="73">
        <v>0</v>
      </c>
      <c r="G13" s="73">
        <v>0</v>
      </c>
    </row>
  </sheetData>
  <mergeCells count="1">
    <mergeCell ref="B1:G1"/>
  </mergeCells>
  <conditionalFormatting pivot="1">
    <cfRule type="top10" dxfId="129" priority="4" rank="20"/>
  </conditionalFormatting>
  <conditionalFormatting pivot="1">
    <cfRule type="top10" dxfId="128" priority="3" rank="20"/>
  </conditionalFormatting>
  <conditionalFormatting pivot="1">
    <cfRule type="top10" dxfId="127" priority="2" rank="20"/>
  </conditionalFormatting>
  <conditionalFormatting pivot="1" sqref="G12:G13">
    <cfRule type="top10" dxfId="126" priority="1" rank="20"/>
  </conditionalFormatting>
  <pageMargins left="0.7" right="0.7" top="0.75" bottom="0.75" header="0.3" footer="0.3"/>
  <drawing r:id="rId2"/>
  <legacyDrawing r:id="rId3"/>
  <controls>
    <mc:AlternateContent xmlns:mc="http://schemas.openxmlformats.org/markup-compatibility/2006">
      <mc:Choice Requires="x14">
        <control shapeId="8194"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8194" r:id="rId4"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Dept"/>
  <dimension ref="A1:G13"/>
  <sheetViews>
    <sheetView showGridLines="0" workbookViewId="0">
      <pane xSplit="1" ySplit="11" topLeftCell="B12" activePane="bottomRight" state="frozen"/>
      <selection activeCell="B47" sqref="B47"/>
      <selection pane="topRight" activeCell="B47" sqref="B47"/>
      <selection pane="bottomLeft" activeCell="B47" sqref="B47"/>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8" spans="1:7" x14ac:dyDescent="0.2">
      <c r="A8" s="60" t="s">
        <v>0</v>
      </c>
      <c r="B8" s="34" t="s">
        <v>6</v>
      </c>
    </row>
    <row r="9" spans="1:7" x14ac:dyDescent="0.2">
      <c r="A9" s="60" t="s">
        <v>7</v>
      </c>
      <c r="B9" s="34" t="s">
        <v>6</v>
      </c>
    </row>
    <row r="11" spans="1:7" x14ac:dyDescent="0.2">
      <c r="A11" s="60" t="s">
        <v>53</v>
      </c>
      <c r="B11" s="35" t="s">
        <v>30</v>
      </c>
      <c r="C11" s="35" t="s">
        <v>31</v>
      </c>
      <c r="D11" s="35" t="s">
        <v>32</v>
      </c>
      <c r="E11" s="35" t="s">
        <v>33</v>
      </c>
      <c r="F11" s="35" t="s">
        <v>34</v>
      </c>
      <c r="G11" s="35" t="s">
        <v>5</v>
      </c>
    </row>
    <row r="12" spans="1:7" x14ac:dyDescent="0.2">
      <c r="A12" s="34" t="s">
        <v>28</v>
      </c>
      <c r="B12" s="75">
        <v>0</v>
      </c>
      <c r="C12" s="75">
        <v>0</v>
      </c>
      <c r="D12" s="75">
        <v>0</v>
      </c>
      <c r="E12" s="75">
        <v>0</v>
      </c>
      <c r="F12" s="75">
        <v>0</v>
      </c>
      <c r="G12" s="75">
        <v>0</v>
      </c>
    </row>
    <row r="13" spans="1:7" x14ac:dyDescent="0.2">
      <c r="A13" s="35" t="s">
        <v>29</v>
      </c>
      <c r="B13" s="73">
        <v>0</v>
      </c>
      <c r="C13" s="73">
        <v>0</v>
      </c>
      <c r="D13" s="73">
        <v>0</v>
      </c>
      <c r="E13" s="73">
        <v>0</v>
      </c>
      <c r="F13" s="73">
        <v>0</v>
      </c>
      <c r="G13" s="73">
        <v>0</v>
      </c>
    </row>
  </sheetData>
  <mergeCells count="1">
    <mergeCell ref="B1:G1"/>
  </mergeCells>
  <pageMargins left="0.7" right="0.7" top="0.75" bottom="0.75" header="0.3" footer="0.3"/>
  <drawing r:id="rId2"/>
  <legacyDrawing r:id="rId3"/>
  <controls>
    <mc:AlternateContent xmlns:mc="http://schemas.openxmlformats.org/markup-compatibility/2006">
      <mc:Choice Requires="x14">
        <control shapeId="10241"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10241" r:id="rId4" name="btnRefres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POC"/>
  <dimension ref="A1:G13"/>
  <sheetViews>
    <sheetView showGridLines="0" workbookViewId="0">
      <pane xSplit="1" ySplit="11" topLeftCell="B12" activePane="bottomRight" state="frozen"/>
      <selection activeCell="B47" sqref="B47"/>
      <selection pane="topRight" activeCell="B47" sqref="B47"/>
      <selection pane="bottomLeft" activeCell="B47" sqref="B47"/>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9" spans="1:7" x14ac:dyDescent="0.2">
      <c r="A9" s="60" t="s">
        <v>0</v>
      </c>
      <c r="B9" s="34" t="s">
        <v>6</v>
      </c>
    </row>
    <row r="11" spans="1:7" x14ac:dyDescent="0.2">
      <c r="A11" s="35" t="s">
        <v>7</v>
      </c>
      <c r="B11" s="35" t="s">
        <v>30</v>
      </c>
      <c r="C11" s="35" t="s">
        <v>31</v>
      </c>
      <c r="D11" s="35" t="s">
        <v>32</v>
      </c>
      <c r="E11" s="35" t="s">
        <v>33</v>
      </c>
      <c r="F11" s="35" t="s">
        <v>34</v>
      </c>
      <c r="G11" s="35" t="s">
        <v>5</v>
      </c>
    </row>
    <row r="12" spans="1:7" x14ac:dyDescent="0.2">
      <c r="A12" s="34" t="s">
        <v>28</v>
      </c>
      <c r="B12" s="74">
        <v>0</v>
      </c>
      <c r="C12" s="74">
        <v>0</v>
      </c>
      <c r="D12" s="74">
        <v>0</v>
      </c>
      <c r="E12" s="74">
        <v>0</v>
      </c>
      <c r="F12" s="74">
        <v>0</v>
      </c>
      <c r="G12" s="74">
        <v>0</v>
      </c>
    </row>
    <row r="13" spans="1:7" x14ac:dyDescent="0.2">
      <c r="A13" s="35" t="s">
        <v>29</v>
      </c>
      <c r="B13" s="73">
        <v>0</v>
      </c>
      <c r="C13" s="73">
        <v>0</v>
      </c>
      <c r="D13" s="73">
        <v>0</v>
      </c>
      <c r="E13" s="73">
        <v>0</v>
      </c>
      <c r="F13" s="73">
        <v>0</v>
      </c>
      <c r="G13" s="73">
        <v>0</v>
      </c>
    </row>
  </sheetData>
  <mergeCells count="1">
    <mergeCell ref="B1:G1"/>
  </mergeCells>
  <conditionalFormatting pivot="1">
    <cfRule type="top10" dxfId="125" priority="2" rank="20"/>
  </conditionalFormatting>
  <conditionalFormatting pivot="1">
    <cfRule type="top10" dxfId="124" priority="1" rank="20"/>
  </conditionalFormatting>
  <pageMargins left="0.7" right="0.7" top="0.75" bottom="0.75" header="0.3" footer="0.3"/>
  <drawing r:id="rId2"/>
  <legacyDrawing r:id="rId3"/>
  <controls>
    <mc:AlternateContent xmlns:mc="http://schemas.openxmlformats.org/markup-compatibility/2006">
      <mc:Choice Requires="x14">
        <control shapeId="9217"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9217" r:id="rId4" name="btnRefresh"/>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infoPathSolution solutionVersion="1.0.0.1" productVersion="15.0.0" PIVersion="1.0.0.0" href="file:///C:\TFS\ViewPoint\AdHocRoutines\AR\ARAging\ARAging.xsn" name="urn:schemas-microsoft-com:office:infopath:ARAging:-myXSD-2015-08-06T20-53-55" ?>
<?mso-application progid="InfoPath.Document" versionProgid="InfoPath.Document.4"?>
<my:myFields xmlns:my="http://schemas.microsoft.com/office/infopath/2003/myXSD/2015-08-06T20:53:55"/>
</file>

<file path=customXml/item2.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Props1.xml><?xml version="1.0" encoding="utf-8"?>
<ds:datastoreItem xmlns:ds="http://schemas.openxmlformats.org/officeDocument/2006/customXml" ds:itemID="{C509C0ED-D522-4FA1-9C70-CDF0EE799E3A}">
  <ds:schemaRefs>
    <ds:schemaRef ds:uri="http://schemas.microsoft.com/office/infopath/2003/myXSD/2015-08-06T20:53:55"/>
  </ds:schemaRefs>
</ds:datastoreItem>
</file>

<file path=customXml/itemProps2.xml><?xml version="1.0" encoding="utf-8"?>
<ds:datastoreItem xmlns:ds="http://schemas.openxmlformats.org/officeDocument/2006/customXml" ds:itemID="{4D113649-DC07-44E9-A917-89F7798F9518}">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Overview</vt:lpstr>
      <vt:lpstr>AR Collections</vt:lpstr>
      <vt:lpstr>Top20Customer</vt:lpstr>
      <vt:lpstr>Top20Dept</vt:lpstr>
      <vt:lpstr>Top20POC</vt:lpstr>
      <vt:lpstr>paramCompany</vt:lpstr>
      <vt:lpstr>paramContract</vt:lpstr>
      <vt:lpstr>paramCustomer</vt:lpstr>
      <vt:lpstr>paramDepartment</vt:lpstr>
      <vt:lpstr>paramInvoice</vt:lpstr>
      <vt:lpstr>paramShapshotMonth</vt:lpstr>
      <vt:lpstr>tblARCollectionsSummary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Orebaugh</dc:creator>
  <cp:lastModifiedBy>Bill Orebaugh</cp:lastModifiedBy>
  <dcterms:created xsi:type="dcterms:W3CDTF">2015-08-04T21:22:15Z</dcterms:created>
  <dcterms:modified xsi:type="dcterms:W3CDTF">2015-11-03T16:30:38Z</dcterms:modified>
</cp:coreProperties>
</file>