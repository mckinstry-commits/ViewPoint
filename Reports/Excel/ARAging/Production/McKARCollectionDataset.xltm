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pivotTables/pivotTable2.xml" ContentType="application/vnd.openxmlformats-officedocument.spreadsheetml.pivotTable+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pivotTables/pivotTable3.xml" ContentType="application/vnd.openxmlformats-officedocument.spreadsheetml.pivotTable+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53222"/>
  <mc:AlternateContent xmlns:mc="http://schemas.openxmlformats.org/markup-compatibility/2006">
    <mc:Choice Requires="x15">
      <x15ac:absPath xmlns:x15ac="http://schemas.microsoft.com/office/spreadsheetml/2010/11/ac" url="C:\Users\billo.MCKINSTRY\Source\Workspaces\ViewPoint\Reports\Excel\ARAging\Production\"/>
    </mc:Choice>
  </mc:AlternateContent>
  <bookViews>
    <workbookView xWindow="0" yWindow="0" windowWidth="28800" windowHeight="12840" tabRatio="517"/>
  </bookViews>
  <sheets>
    <sheet name="Overview" sheetId="4" r:id="rId1"/>
    <sheet name="AR Collections" sheetId="5" r:id="rId2"/>
    <sheet name="Top20Customer" sheetId="6" r:id="rId3"/>
    <sheet name="Top20Dept" sheetId="8" r:id="rId4"/>
    <sheet name="Top20POC" sheetId="7" r:id="rId5"/>
  </sheets>
  <definedNames>
    <definedName name="ARAgingSummary" localSheetId="1" hidden="1">'AR Collections'!#REF!</definedName>
    <definedName name="ARCollectionsSummary" localSheetId="1" hidden="1">'AR Collections'!#REF!</definedName>
    <definedName name="ExternalData_1" localSheetId="1" hidden="1">'AR Collections'!#REF!</definedName>
    <definedName name="ExternalData_2" localSheetId="1" hidden="1">'AR Collections'!$A$9:$Y$10</definedName>
    <definedName name="monthToProcess" localSheetId="1">Overview!#REF!</definedName>
    <definedName name="monthToProcess" localSheetId="3">Overview!#REF!</definedName>
    <definedName name="monthToProcess" localSheetId="4">Overview!#REF!</definedName>
    <definedName name="monthToProcess">Overview!#REF!</definedName>
    <definedName name="old_ARCollectionsSummary">#REF!</definedName>
    <definedName name="paramCompany">Overview!$E$7</definedName>
    <definedName name="paramContract">Overview!$E$9</definedName>
    <definedName name="paramCustomer">Overview!$E$8</definedName>
    <definedName name="paramDepartment">Overview!$E$11</definedName>
    <definedName name="paramInvoice">Overview!$E$10</definedName>
    <definedName name="paramShapshotMonth">Overview!$E$6</definedName>
    <definedName name="tblARCollectionsSummary">Table_ExternalData_2[]</definedName>
  </definedNames>
  <calcPr calcId="162913"/>
  <pivotCaches>
    <pivotCache cacheId="6" r:id="rId6"/>
  </pivotCaches>
</workbook>
</file>

<file path=xl/calcChain.xml><?xml version="1.0" encoding="utf-8"?>
<calcChain xmlns="http://schemas.openxmlformats.org/spreadsheetml/2006/main">
  <c r="M11" i="5" l="1"/>
  <c r="O11" i="5"/>
  <c r="P11" i="5"/>
  <c r="Q11" i="5"/>
  <c r="R11" i="5"/>
  <c r="S11" i="5"/>
  <c r="T11" i="5"/>
  <c r="U11" i="5"/>
  <c r="V11" i="5"/>
  <c r="E6" i="4"/>
  <c r="J7" i="4" l="1"/>
  <c r="J6" i="5"/>
  <c r="J12" i="4"/>
  <c r="J3" i="5"/>
  <c r="J4" i="5"/>
  <c r="G2" i="7"/>
  <c r="G2" i="8"/>
  <c r="G2" i="6"/>
  <c r="E14" i="4"/>
  <c r="H2" i="5"/>
  <c r="J7" i="5"/>
  <c r="I7" i="5"/>
  <c r="I6" i="5"/>
  <c r="J5" i="5"/>
  <c r="I5" i="5"/>
  <c r="I4" i="5"/>
  <c r="I3" i="5"/>
  <c r="J2" i="5"/>
  <c r="I2" i="5"/>
  <c r="J9" i="4"/>
  <c r="J6" i="4"/>
  <c r="I13" i="4"/>
  <c r="I12" i="4"/>
  <c r="I10" i="4"/>
  <c r="I9" i="4"/>
  <c r="I8" i="4"/>
  <c r="I7" i="4"/>
  <c r="I6" i="4"/>
  <c r="J10" i="4" l="1"/>
  <c r="J8" i="4"/>
  <c r="K3" i="5"/>
  <c r="K5" i="5"/>
  <c r="K7" i="5"/>
  <c r="K6" i="5"/>
  <c r="K2" i="5"/>
  <c r="K4" i="5"/>
  <c r="J13" i="4"/>
  <c r="K8" i="4" l="1"/>
  <c r="K7" i="4"/>
  <c r="K10" i="4"/>
  <c r="K6" i="4"/>
  <c r="K9" i="4"/>
  <c r="G4" i="8" l="1"/>
  <c r="F4" i="8"/>
  <c r="E4" i="8"/>
  <c r="D4" i="8"/>
  <c r="C4" i="8"/>
  <c r="B1" i="8"/>
  <c r="G4" i="7"/>
  <c r="F4" i="7"/>
  <c r="E4" i="7"/>
  <c r="D4" i="7"/>
  <c r="C4" i="7"/>
  <c r="B1" i="7"/>
  <c r="B1" i="6"/>
  <c r="G4" i="6"/>
  <c r="F4" i="6"/>
  <c r="E4" i="6"/>
  <c r="D4" i="6"/>
  <c r="C4" i="6"/>
  <c r="H4" i="5"/>
  <c r="G4" i="5"/>
  <c r="F4" i="5"/>
  <c r="E4" i="5"/>
  <c r="D4" i="5"/>
  <c r="C1" i="5"/>
  <c r="B4" i="7" l="1"/>
  <c r="B4" i="8"/>
  <c r="C4" i="5"/>
  <c r="B4" i="6"/>
  <c r="K13" i="4"/>
</calcChain>
</file>

<file path=xl/comments1.xml><?xml version="1.0" encoding="utf-8"?>
<comments xmlns="http://schemas.openxmlformats.org/spreadsheetml/2006/main">
  <authors>
    <author>Bill Orebaugh</author>
  </authors>
  <commentList>
    <comment ref="D6" authorId="0" shapeId="0">
      <text>
        <r>
          <rPr>
            <sz val="9"/>
            <color indexed="81"/>
            <rFont val="Tahoma"/>
            <family val="2"/>
          </rPr>
          <t xml:space="preserve">(Required) Enter the Month for the data you would like presented in this workbook.  Use the first of the month as the date (e.g. mm/1/yyyy)
</t>
        </r>
      </text>
    </comment>
    <comment ref="D7" authorId="0" shapeId="0">
      <text>
        <r>
          <rPr>
            <sz val="9"/>
            <color indexed="81"/>
            <rFont val="Tahoma"/>
            <family val="2"/>
          </rPr>
          <t xml:space="preserve">Enter all or part of the Company number or Name.  Refresh will return any record with the entered value found in the system (e.g. 123 would return 9123, 1234, etc.).
</t>
        </r>
      </text>
    </comment>
    <comment ref="D8" authorId="0" shapeId="0">
      <text>
        <r>
          <rPr>
            <sz val="9"/>
            <color indexed="81"/>
            <rFont val="Tahoma"/>
            <family val="2"/>
          </rPr>
          <t xml:space="preserve">Enter all or part of the Customer number or Name.  Refresh will return any record with the entered value found in the system (e.g. 123 would return 9123, 1234, etc.).
</t>
        </r>
      </text>
    </comment>
    <comment ref="D9" authorId="0" shapeId="0">
      <text>
        <r>
          <rPr>
            <sz val="9"/>
            <color indexed="81"/>
            <rFont val="Tahoma"/>
            <family val="2"/>
          </rPr>
          <t xml:space="preserve">Enter all or part of the Contract number or Name.  Refresh will return any record with the entered value found in the system (e.g. 123 would return 9123, 1234, etc.).
</t>
        </r>
      </text>
    </comment>
    <comment ref="D10" authorId="0" shapeId="0">
      <text>
        <r>
          <rPr>
            <sz val="9"/>
            <color indexed="81"/>
            <rFont val="Tahoma"/>
            <family val="2"/>
          </rPr>
          <t xml:space="preserve">Enter all or part of the Invoice number or description.  Refresh will return any record with the entered value found in the system (e.g. 123 would return 9123, 1234, etc.).
</t>
        </r>
      </text>
    </comment>
    <comment ref="D11" authorId="0" shapeId="0">
      <text>
        <r>
          <rPr>
            <sz val="9"/>
            <color indexed="81"/>
            <rFont val="Tahoma"/>
            <family val="2"/>
          </rPr>
          <t xml:space="preserve">Enter all or part of the GL Department number or Name.  Refresh will return any record with the entered value found in the system (e.g. 123 would return 9123, 1234, etc.).
</t>
        </r>
      </text>
    </comment>
  </commentList>
</comments>
</file>

<file path=xl/connections.xml><?xml version="1.0" encoding="utf-8"?>
<connections xmlns="http://schemas.openxmlformats.org/spreadsheetml/2006/main">
  <connection id="1" keepAlive="1" name="AR Collections Summary" type="5" refreshedVersion="6" background="1" saveData="1">
    <dbPr connection="Provider=SQLOLEDB.1;Integrated Security=SSPI;Persist Security Info=True;Initial Catalog=Viewpoint;Data Source=VIEWPOINTAG\VIEWPOINT;Extended Properties=&quot;Application Intent=ReadOnly&quot;;Use Procedure for Prepare=1;Auto Translate=True;Packet Size=4096;Workstation ID=SEABILLOXPS;Use Encryption for Data=False;Tag with column collation when possible=False" command="select ARCo,GLDepartmentNumber as [GLDept# ],GLDepartmentName as [GLDeptName],POCName,ProjectManagers,ContractDesc,CustomerName,Customer as [Customer#],InvoiceContract as [Contract#],Invoice as [Invoice#],InvoiceTransDate as [InvoiceDate],InvoiceDueDate as [DueDate],Invoiced  as [TotalInvoiced],DaysFromAge as [DaysPastDue],[Current],Aged1to30,Aged31to60,Aged61to90,AgedOver90,(coalesce([Current],0)+coalesce(Aged1to30,0)+coalesce(Aged31to60,0)+coalesce(Aged61to90,0)+coalesce(AgedOver90,0)) as TotalAged,Retainage,Paid,case when ltrim(rtrim(CollectionNotes))='' then 'None' else CollectionNotes end as CollectionNotes,FinancialPeriod,AsOfDate from [dbo].[mfnARAgingSummary] ('1/1/2015')  where 1=0 Order by CustomerName,Invoice"/>
  </connection>
</connections>
</file>

<file path=xl/sharedStrings.xml><?xml version="1.0" encoding="utf-8"?>
<sst xmlns="http://schemas.openxmlformats.org/spreadsheetml/2006/main" count="120" uniqueCount="61">
  <si>
    <t>ARCo</t>
  </si>
  <si>
    <t>CustomerName</t>
  </si>
  <si>
    <t>Customer</t>
  </si>
  <si>
    <t>Invoice</t>
  </si>
  <si>
    <t>Retention</t>
  </si>
  <si>
    <t>Total Aged</t>
  </si>
  <si>
    <t>(All)</t>
  </si>
  <si>
    <t>POCName</t>
  </si>
  <si>
    <t>Snapshot Month</t>
  </si>
  <si>
    <t>Company</t>
  </si>
  <si>
    <t>Contract</t>
  </si>
  <si>
    <t>Department</t>
  </si>
  <si>
    <t>Month</t>
  </si>
  <si>
    <t/>
  </si>
  <si>
    <t>FinancialPeriod</t>
  </si>
  <si>
    <t>CollectionNotes</t>
  </si>
  <si>
    <t>ProjectManagers</t>
  </si>
  <si>
    <t>Current</t>
  </si>
  <si>
    <t>Aged1to30</t>
  </si>
  <si>
    <t>Aged31to60</t>
  </si>
  <si>
    <t>Aged61to90</t>
  </si>
  <si>
    <t>AgedOver90</t>
  </si>
  <si>
    <t>Retainage</t>
  </si>
  <si>
    <t>Paid</t>
  </si>
  <si>
    <t>TotalAged</t>
  </si>
  <si>
    <t>ContractDesc</t>
  </si>
  <si>
    <t>=EOMONTH(NOW(),-1)+1</t>
  </si>
  <si>
    <t>Accounts Receivable Collections Worksheet</t>
  </si>
  <si>
    <t>(blank)</t>
  </si>
  <si>
    <t>Grand Total</t>
  </si>
  <si>
    <t>Current Amount</t>
  </si>
  <si>
    <t>1-30 Amoung</t>
  </si>
  <si>
    <t>31-60 Amount</t>
  </si>
  <si>
    <t>61-90 Amount</t>
  </si>
  <si>
    <t>Over 90 Amount</t>
  </si>
  <si>
    <t>AsOfDate</t>
  </si>
  <si>
    <t>Data As Of</t>
  </si>
  <si>
    <t>InvoiceDate</t>
  </si>
  <si>
    <t>1-30 Amount</t>
  </si>
  <si>
    <t>AR Aging Bucket Definitions</t>
  </si>
  <si>
    <t>Aged 1 to 30</t>
  </si>
  <si>
    <t>Aged 31 to 60</t>
  </si>
  <si>
    <t>Aged 61 to 90</t>
  </si>
  <si>
    <t>Aged Over 90</t>
  </si>
  <si>
    <t>All "Aged Amounts" fall within the "Aging Buckets" in the report based on the Invoice Due Date.  If an Invoice Due Date does not exist, the Aging is based on the Invoice Date.    The report will calculate the number of days until the invoice is due or overdue and place the appropriate outstanding balance in the "Aging Bucket".  The report looks to Vista (Viewpoint) to calculate the due date.</t>
  </si>
  <si>
    <t>Displays invoice balances that are not yet due.  The outstanding balance (amount due) for an invoice is in the future.</t>
  </si>
  <si>
    <t xml:space="preserve">The outstanding balance (amount due) for an invoice that is 1 to 30 days past due.  </t>
  </si>
  <si>
    <t>The outstanding balance (amount due) for an invoice that is 31 to 60 days past due.</t>
  </si>
  <si>
    <t>The outstanding balance (amount due) for an invoice that is 61 to 90 days past due.</t>
  </si>
  <si>
    <t>The outstanding balance (amount due) for an invoice that is greater and 90 days past due.</t>
  </si>
  <si>
    <t>The Sum of the Aging Buckets representing the total amount due.</t>
  </si>
  <si>
    <t>Held but not released.  Upon release of retention, the retainage invoice amount will follow the aging bucket rules.</t>
  </si>
  <si>
    <t xml:space="preserve">GLDept# </t>
  </si>
  <si>
    <t>GLDeptName</t>
  </si>
  <si>
    <t>Customer#</t>
  </si>
  <si>
    <t>Contract#</t>
  </si>
  <si>
    <t>Invoice#</t>
  </si>
  <si>
    <t>DueDate</t>
  </si>
  <si>
    <t>TotalInvoiced</t>
  </si>
  <si>
    <t>DaysPastDue</t>
  </si>
  <si>
    <t>Totals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</si>
</sst>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4" formatCode="_(&quot;$&quot;* #,##0.00_);_(&quot;$&quot;* \(#,##0.00\);_(&quot;$&quot;* &quot;-&quot;??_);_(@_)"/>
    <numFmt numFmtId="164" formatCode="[$-409]m/d/yy\ h:mm\ AM/PM;@"/>
    <numFmt numFmtId="165" formatCode="mm/yyyy;@"/>
    <numFmt numFmtId="166" formatCode="m/d/yyyy;@"/>
  </numFmts>
  <fonts count="29" x14ac:knownFonts="1">
    <font>
      <sz val="9"/>
      <color theme="1"/>
      <name val="Calibri"/>
      <family val="2"/>
      <scheme val="minor"/>
    </font>
    <font>
      <sz val="9"/>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rgb="FF006100"/>
      <name val="Calibri"/>
      <family val="2"/>
      <scheme val="minor"/>
    </font>
    <font>
      <sz val="9"/>
      <color rgb="FF9C0006"/>
      <name val="Calibri"/>
      <family val="2"/>
      <scheme val="minor"/>
    </font>
    <font>
      <sz val="9"/>
      <color rgb="FF9C6500"/>
      <name val="Calibri"/>
      <family val="2"/>
      <scheme val="minor"/>
    </font>
    <font>
      <sz val="9"/>
      <color rgb="FF3F3F76"/>
      <name val="Calibri"/>
      <family val="2"/>
      <scheme val="minor"/>
    </font>
    <font>
      <b/>
      <sz val="9"/>
      <color rgb="FF3F3F3F"/>
      <name val="Calibri"/>
      <family val="2"/>
      <scheme val="minor"/>
    </font>
    <font>
      <b/>
      <sz val="9"/>
      <color rgb="FFFA7D00"/>
      <name val="Calibri"/>
      <family val="2"/>
      <scheme val="minor"/>
    </font>
    <font>
      <sz val="9"/>
      <color rgb="FFFA7D00"/>
      <name val="Calibri"/>
      <family val="2"/>
      <scheme val="minor"/>
    </font>
    <font>
      <b/>
      <sz val="9"/>
      <color theme="0"/>
      <name val="Calibri"/>
      <family val="2"/>
      <scheme val="minor"/>
    </font>
    <font>
      <sz val="9"/>
      <color rgb="FFFF0000"/>
      <name val="Calibri"/>
      <family val="2"/>
      <scheme val="minor"/>
    </font>
    <font>
      <i/>
      <sz val="9"/>
      <color rgb="FF7F7F7F"/>
      <name val="Calibri"/>
      <family val="2"/>
      <scheme val="minor"/>
    </font>
    <font>
      <b/>
      <sz val="9"/>
      <color theme="1"/>
      <name val="Calibri"/>
      <family val="2"/>
      <scheme val="minor"/>
    </font>
    <font>
      <sz val="9"/>
      <color theme="0"/>
      <name val="Calibri"/>
      <family val="2"/>
      <scheme val="minor"/>
    </font>
    <font>
      <b/>
      <sz val="11"/>
      <color theme="0" tint="-4.9989318521683403E-2"/>
      <name val="Calibri"/>
      <family val="2"/>
      <scheme val="minor"/>
    </font>
    <font>
      <i/>
      <sz val="9"/>
      <color theme="1"/>
      <name val="Calibri"/>
      <family val="2"/>
      <scheme val="minor"/>
    </font>
    <font>
      <b/>
      <i/>
      <sz val="8"/>
      <color theme="1"/>
      <name val="Calibri"/>
      <family val="2"/>
      <scheme val="minor"/>
    </font>
    <font>
      <sz val="9"/>
      <color indexed="81"/>
      <name val="Tahoma"/>
      <family val="2"/>
    </font>
    <font>
      <sz val="11"/>
      <color theme="1"/>
      <name val="Calibri"/>
      <family val="2"/>
      <scheme val="minor"/>
    </font>
    <font>
      <sz val="20"/>
      <color theme="0"/>
      <name val="Calibri"/>
      <family val="2"/>
      <scheme val="minor"/>
    </font>
    <font>
      <sz val="10"/>
      <name val="Calibri"/>
      <family val="2"/>
      <scheme val="minor"/>
    </font>
    <font>
      <i/>
      <sz val="12"/>
      <color theme="0"/>
      <name val="Calibri"/>
      <family val="2"/>
      <scheme val="minor"/>
    </font>
    <font>
      <sz val="18"/>
      <color theme="0"/>
      <name val="Calibri"/>
      <family val="2"/>
      <scheme val="minor"/>
    </font>
    <font>
      <sz val="16"/>
      <color theme="0"/>
      <name val="Calibri"/>
      <family val="2"/>
      <scheme val="minor"/>
    </font>
    <font>
      <sz val="9"/>
      <color theme="0"/>
      <name val="Calibri"/>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A3F54"/>
        <bgColor indexed="64"/>
      </patternFill>
    </fill>
    <fill>
      <patternFill patternType="solid">
        <fgColor rgb="FFACC2DF"/>
        <bgColor indexed="64"/>
      </patternFill>
    </fill>
    <fill>
      <patternFill patternType="solid">
        <fgColor rgb="FF4F6476"/>
        <bgColor indexed="64"/>
      </patternFill>
    </fill>
    <fill>
      <patternFill patternType="solid">
        <fgColor rgb="FF6B383B"/>
        <bgColor indexed="64"/>
      </patternFill>
    </fill>
    <fill>
      <patternFill patternType="solid">
        <fgColor rgb="FFCF6733"/>
        <bgColor indexed="64"/>
      </patternFill>
    </fill>
    <fill>
      <patternFill patternType="solid">
        <fgColor rgb="FF9A963C"/>
        <bgColor indexed="64"/>
      </patternFill>
    </fill>
    <fill>
      <patternFill patternType="solid">
        <fgColor rgb="FF00848E"/>
        <bgColor indexed="64"/>
      </patternFill>
    </fill>
    <fill>
      <patternFill patternType="solid">
        <fgColor rgb="FFDCDFE5"/>
        <bgColor indexed="64"/>
      </patternFill>
    </fill>
    <fill>
      <patternFill patternType="solid">
        <fgColor rgb="FFEBBF1E"/>
        <bgColor indexed="64"/>
      </patternFill>
    </fill>
    <fill>
      <patternFill patternType="solid">
        <fgColor rgb="FFFFC00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n">
        <color auto="1"/>
      </left>
      <right/>
      <top/>
      <bottom style="thin">
        <color auto="1"/>
      </bottom>
      <diagonal/>
    </border>
    <border>
      <left/>
      <right/>
      <top/>
      <bottom style="thin">
        <color auto="1"/>
      </bottom>
      <diagonal/>
    </border>
    <border>
      <left/>
      <right style="thick">
        <color auto="1"/>
      </right>
      <top/>
      <bottom style="thin">
        <color auto="1"/>
      </bottom>
      <diagonal/>
    </border>
    <border>
      <left style="thick">
        <color auto="1"/>
      </left>
      <right/>
      <top style="thin">
        <color auto="1"/>
      </top>
      <bottom/>
      <diagonal/>
    </border>
    <border>
      <left/>
      <right style="thin">
        <color auto="1"/>
      </right>
      <top style="thin">
        <color auto="1"/>
      </top>
      <bottom/>
      <diagonal/>
    </border>
    <border>
      <left style="thin">
        <color auto="1"/>
      </left>
      <right/>
      <top style="thin">
        <color auto="1"/>
      </top>
      <bottom/>
      <diagonal/>
    </border>
    <border>
      <left/>
      <right/>
      <top style="thin">
        <color auto="1"/>
      </top>
      <bottom/>
      <diagonal/>
    </border>
    <border>
      <left/>
      <right style="thick">
        <color auto="1"/>
      </right>
      <top style="thin">
        <color auto="1"/>
      </top>
      <bottom/>
      <diagonal/>
    </border>
    <border>
      <left style="thick">
        <color auto="1"/>
      </left>
      <right/>
      <top/>
      <bottom style="thin">
        <color auto="1"/>
      </bottom>
      <diagonal/>
    </border>
    <border>
      <left/>
      <right style="thin">
        <color auto="1"/>
      </right>
      <top/>
      <bottom style="thin">
        <color auto="1"/>
      </bottom>
      <diagonal/>
    </border>
    <border>
      <left style="thick">
        <color auto="1"/>
      </left>
      <right/>
      <top/>
      <bottom style="thick">
        <color auto="1"/>
      </bottom>
      <diagonal/>
    </border>
    <border>
      <left/>
      <right style="thin">
        <color auto="1"/>
      </right>
      <top/>
      <bottom style="thick">
        <color auto="1"/>
      </bottom>
      <diagonal/>
    </border>
    <border>
      <left style="thin">
        <color auto="1"/>
      </left>
      <right/>
      <top/>
      <bottom style="thick">
        <color auto="1"/>
      </bottom>
      <diagonal/>
    </border>
    <border>
      <left/>
      <right/>
      <top/>
      <bottom style="thick">
        <color auto="1"/>
      </bottom>
      <diagonal/>
    </border>
    <border>
      <left/>
      <right style="thick">
        <color auto="1"/>
      </right>
      <top/>
      <bottom style="thick">
        <color auto="1"/>
      </bottom>
      <diagonal/>
    </border>
  </borders>
  <cellStyleXfs count="44">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cellStyleXfs>
  <cellXfs count="103">
    <xf numFmtId="0" fontId="0" fillId="0" borderId="0" xfId="0"/>
    <xf numFmtId="0" fontId="0" fillId="0" borderId="0" xfId="0" applyProtection="1">
      <protection locked="0"/>
    </xf>
    <xf numFmtId="0" fontId="20" fillId="0" borderId="0" xfId="0" applyFont="1" applyAlignment="1" applyProtection="1">
      <alignment horizontal="right"/>
    </xf>
    <xf numFmtId="0" fontId="0" fillId="0" borderId="0" xfId="0" applyAlignment="1" applyProtection="1">
      <alignment horizontal="left"/>
      <protection locked="0"/>
    </xf>
    <xf numFmtId="44" fontId="0" fillId="0" borderId="0" xfId="1" applyFont="1" applyBorder="1" applyProtection="1"/>
    <xf numFmtId="10" fontId="19" fillId="0" borderId="0" xfId="43" applyNumberFormat="1" applyFont="1" applyAlignment="1" applyProtection="1">
      <alignment horizontal="center"/>
      <protection locked="0"/>
    </xf>
    <xf numFmtId="0" fontId="22" fillId="0" borderId="10" xfId="0" applyFont="1" applyFill="1" applyBorder="1" applyAlignment="1" applyProtection="1">
      <alignment horizontal="center"/>
      <protection locked="0"/>
    </xf>
    <xf numFmtId="0" fontId="22" fillId="0" borderId="10" xfId="0" quotePrefix="1" applyFont="1" applyFill="1" applyBorder="1" applyAlignment="1" applyProtection="1">
      <alignment horizontal="center"/>
      <protection locked="0"/>
    </xf>
    <xf numFmtId="0" fontId="23" fillId="0" borderId="0" xfId="0" applyFont="1" applyFill="1" applyBorder="1" applyAlignment="1">
      <alignment horizontal="center"/>
    </xf>
    <xf numFmtId="0" fontId="23" fillId="0" borderId="11" xfId="0" applyFont="1" applyFill="1" applyBorder="1" applyAlignment="1">
      <alignment horizontal="center"/>
    </xf>
    <xf numFmtId="0" fontId="23" fillId="0" borderId="12" xfId="0" applyFont="1" applyFill="1" applyBorder="1" applyAlignment="1">
      <alignment horizontal="center"/>
    </xf>
    <xf numFmtId="0" fontId="23" fillId="0" borderId="13" xfId="0" applyFont="1" applyFill="1" applyBorder="1" applyAlignment="1">
      <alignment horizontal="center"/>
    </xf>
    <xf numFmtId="0" fontId="0" fillId="0" borderId="14" xfId="0" applyFont="1" applyBorder="1" applyAlignment="1">
      <alignment horizontal="right"/>
    </xf>
    <xf numFmtId="0" fontId="0" fillId="0" borderId="15" xfId="0" applyBorder="1"/>
    <xf numFmtId="0" fontId="0" fillId="0" borderId="16" xfId="0" applyBorder="1"/>
    <xf numFmtId="0" fontId="0" fillId="0" borderId="17" xfId="0" applyBorder="1"/>
    <xf numFmtId="0" fontId="0" fillId="0" borderId="18"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0" xfId="0" applyBorder="1"/>
    <xf numFmtId="0" fontId="22" fillId="0" borderId="0" xfId="0" quotePrefix="1" applyFont="1" applyFill="1" applyBorder="1" applyAlignment="1" applyProtection="1">
      <alignment horizontal="center"/>
      <protection locked="0"/>
    </xf>
    <xf numFmtId="44" fontId="13" fillId="33" borderId="10" xfId="1" applyFont="1" applyFill="1" applyBorder="1" applyProtection="1"/>
    <xf numFmtId="44" fontId="13" fillId="35" borderId="10" xfId="1" applyFont="1" applyFill="1" applyBorder="1" applyProtection="1"/>
    <xf numFmtId="44" fontId="13" fillId="36" borderId="10" xfId="1" applyFont="1" applyFill="1" applyBorder="1" applyProtection="1"/>
    <xf numFmtId="44" fontId="13" fillId="37" borderId="10" xfId="1" applyFont="1" applyFill="1" applyBorder="1" applyProtection="1"/>
    <xf numFmtId="0" fontId="17" fillId="33" borderId="10" xfId="0" applyFont="1" applyFill="1" applyBorder="1" applyAlignment="1" applyProtection="1">
      <alignment horizontal="center"/>
    </xf>
    <xf numFmtId="0" fontId="24" fillId="40" borderId="10" xfId="0" applyFont="1" applyFill="1" applyBorder="1" applyAlignment="1" applyProtection="1">
      <alignment horizontal="center"/>
    </xf>
    <xf numFmtId="0" fontId="23" fillId="0" borderId="0" xfId="0" applyFont="1" applyFill="1" applyAlignment="1"/>
    <xf numFmtId="0" fontId="20" fillId="0" borderId="0" xfId="0" applyFont="1" applyFill="1" applyBorder="1" applyAlignment="1" applyProtection="1">
      <alignment horizontal="right"/>
    </xf>
    <xf numFmtId="44" fontId="18" fillId="0" borderId="0" xfId="1" applyFont="1" applyFill="1" applyBorder="1" applyProtection="1"/>
    <xf numFmtId="0" fontId="0" fillId="33" borderId="0" xfId="0" applyFill="1" applyProtection="1">
      <protection locked="0"/>
    </xf>
    <xf numFmtId="0" fontId="17" fillId="0" borderId="0" xfId="0" quotePrefix="1" applyFont="1"/>
    <xf numFmtId="0" fontId="0" fillId="0" borderId="10" xfId="0" applyBorder="1"/>
    <xf numFmtId="0" fontId="17" fillId="33" borderId="10" xfId="0" applyFont="1" applyFill="1" applyBorder="1"/>
    <xf numFmtId="164" fontId="0" fillId="0" borderId="17" xfId="0" applyNumberFormat="1" applyBorder="1" applyAlignment="1">
      <alignment horizontal="left"/>
    </xf>
    <xf numFmtId="0" fontId="0" fillId="0" borderId="16" xfId="0" applyBorder="1" applyAlignment="1">
      <alignment horizontal="right"/>
    </xf>
    <xf numFmtId="165" fontId="22" fillId="0" borderId="10" xfId="0" applyNumberFormat="1" applyFont="1" applyFill="1" applyBorder="1" applyAlignment="1" applyProtection="1">
      <alignment horizontal="center"/>
      <protection locked="0"/>
    </xf>
    <xf numFmtId="0" fontId="0" fillId="0" borderId="0" xfId="0" applyFont="1"/>
    <xf numFmtId="0" fontId="16" fillId="0" borderId="0" xfId="0" applyFont="1" applyAlignment="1" applyProtection="1">
      <alignment horizontal="right"/>
    </xf>
    <xf numFmtId="44" fontId="13" fillId="34" borderId="10" xfId="1" applyFont="1" applyFill="1" applyBorder="1" applyProtection="1"/>
    <xf numFmtId="44" fontId="13" fillId="39" borderId="10" xfId="1" applyFont="1" applyFill="1" applyBorder="1" applyProtection="1"/>
    <xf numFmtId="0" fontId="13" fillId="0" borderId="0" xfId="0" applyFont="1"/>
    <xf numFmtId="44" fontId="13" fillId="38" borderId="10" xfId="1" applyFont="1" applyFill="1" applyBorder="1" applyProtection="1"/>
    <xf numFmtId="165" fontId="24" fillId="40" borderId="10" xfId="0" applyNumberFormat="1" applyFont="1" applyFill="1" applyBorder="1" applyAlignment="1" applyProtection="1">
      <alignment horizontal="center"/>
    </xf>
    <xf numFmtId="0" fontId="0" fillId="33" borderId="20" xfId="0" applyFill="1" applyBorder="1"/>
    <xf numFmtId="0" fontId="0" fillId="33" borderId="22" xfId="0" applyFill="1" applyBorder="1"/>
    <xf numFmtId="0" fontId="0" fillId="33" borderId="23" xfId="0" applyFill="1" applyBorder="1"/>
    <xf numFmtId="0" fontId="0" fillId="33" borderId="24" xfId="0" applyFill="1" applyBorder="1"/>
    <xf numFmtId="0" fontId="17" fillId="33" borderId="19" xfId="0" applyFont="1" applyFill="1" applyBorder="1" applyAlignment="1" applyProtection="1">
      <alignment horizontal="center"/>
    </xf>
    <xf numFmtId="0" fontId="0" fillId="0" borderId="0" xfId="0" applyBorder="1" applyAlignment="1">
      <alignment horizontal="right"/>
    </xf>
    <xf numFmtId="0" fontId="0" fillId="0" borderId="23" xfId="0" applyFill="1" applyBorder="1"/>
    <xf numFmtId="0" fontId="25" fillId="0" borderId="0" xfId="0" applyFont="1" applyFill="1" applyBorder="1" applyAlignment="1">
      <alignment horizontal="center"/>
    </xf>
    <xf numFmtId="0" fontId="0" fillId="0" borderId="24" xfId="0" applyFill="1" applyBorder="1"/>
    <xf numFmtId="0" fontId="0" fillId="0" borderId="24" xfId="0" applyBorder="1" applyAlignment="1">
      <alignment vertical="top" wrapText="1"/>
    </xf>
    <xf numFmtId="0" fontId="0" fillId="0" borderId="23" xfId="0" applyBorder="1" applyAlignment="1">
      <alignment vertical="top" wrapText="1"/>
    </xf>
    <xf numFmtId="0" fontId="0" fillId="0" borderId="23" xfId="0" applyBorder="1" applyAlignment="1">
      <alignment horizontal="center" vertical="top" wrapText="1"/>
    </xf>
    <xf numFmtId="0" fontId="0" fillId="0" borderId="0" xfId="0" applyBorder="1" applyAlignment="1">
      <alignment horizontal="center" vertical="top" wrapText="1"/>
    </xf>
    <xf numFmtId="0" fontId="0" fillId="0" borderId="24" xfId="0" applyBorder="1" applyAlignment="1">
      <alignment horizontal="center" vertical="top" wrapText="1"/>
    </xf>
    <xf numFmtId="0" fontId="0" fillId="0" borderId="10" xfId="0" pivotButton="1" applyBorder="1"/>
    <xf numFmtId="166" fontId="0" fillId="0" borderId="17" xfId="0" applyNumberFormat="1" applyBorder="1" applyAlignment="1">
      <alignment horizontal="left"/>
    </xf>
    <xf numFmtId="0" fontId="0" fillId="0" borderId="10" xfId="0" applyBorder="1" applyAlignment="1" applyProtection="1">
      <alignment vertical="top"/>
      <protection locked="0"/>
    </xf>
    <xf numFmtId="0" fontId="0" fillId="0" borderId="10" xfId="0" applyBorder="1" applyAlignment="1">
      <alignment vertical="top"/>
    </xf>
    <xf numFmtId="166" fontId="0" fillId="0" borderId="10" xfId="0" applyNumberFormat="1" applyBorder="1" applyAlignment="1" applyProtection="1">
      <alignment vertical="top"/>
      <protection locked="0"/>
    </xf>
    <xf numFmtId="0" fontId="0" fillId="0" borderId="10" xfId="0" applyBorder="1" applyAlignment="1" applyProtection="1">
      <alignment horizontal="left" vertical="top"/>
      <protection locked="0"/>
    </xf>
    <xf numFmtId="0" fontId="0" fillId="33" borderId="0" xfId="0" applyFill="1"/>
    <xf numFmtId="166" fontId="0" fillId="33" borderId="0" xfId="0" applyNumberFormat="1" applyFill="1"/>
    <xf numFmtId="0" fontId="0" fillId="33" borderId="0" xfId="0" applyFill="1" applyAlignment="1">
      <alignment wrapText="1"/>
    </xf>
    <xf numFmtId="166" fontId="0" fillId="0" borderId="10" xfId="0" applyNumberFormat="1" applyBorder="1" applyAlignment="1">
      <alignment vertical="top"/>
    </xf>
    <xf numFmtId="4" fontId="0" fillId="0" borderId="10" xfId="0" applyNumberFormat="1" applyBorder="1" applyAlignment="1" applyProtection="1">
      <alignment vertical="top"/>
      <protection locked="0"/>
    </xf>
    <xf numFmtId="4" fontId="0" fillId="33" borderId="0" xfId="0" applyNumberFormat="1" applyFill="1"/>
    <xf numFmtId="4" fontId="0" fillId="0" borderId="10" xfId="0" applyNumberFormat="1" applyBorder="1" applyAlignment="1">
      <alignment vertical="top"/>
    </xf>
    <xf numFmtId="4" fontId="17" fillId="33" borderId="10" xfId="0" applyNumberFormat="1" applyFont="1" applyFill="1" applyBorder="1"/>
    <xf numFmtId="4" fontId="0" fillId="41" borderId="10" xfId="0" applyNumberFormat="1" applyFill="1" applyBorder="1"/>
    <xf numFmtId="4" fontId="0" fillId="42" borderId="10" xfId="0" applyNumberFormat="1" applyFill="1" applyBorder="1"/>
    <xf numFmtId="0" fontId="28" fillId="33" borderId="0" xfId="0" applyFont="1" applyFill="1" applyProtection="1">
      <protection locked="0"/>
    </xf>
    <xf numFmtId="0" fontId="28" fillId="33" borderId="0" xfId="0" applyFont="1" applyFill="1"/>
    <xf numFmtId="4" fontId="28" fillId="33" borderId="0" xfId="0" applyNumberFormat="1" applyFont="1" applyFill="1" applyProtection="1">
      <protection locked="0"/>
    </xf>
    <xf numFmtId="4" fontId="28" fillId="33" borderId="0" xfId="0" applyNumberFormat="1" applyFont="1" applyFill="1"/>
    <xf numFmtId="0" fontId="28" fillId="33" borderId="0" xfId="0" applyFont="1" applyFill="1" applyAlignment="1">
      <alignment wrapText="1"/>
    </xf>
    <xf numFmtId="166" fontId="28" fillId="33" borderId="0" xfId="0" applyNumberFormat="1" applyFont="1" applyFill="1"/>
    <xf numFmtId="0" fontId="26" fillId="33" borderId="0" xfId="0" applyFont="1" applyFill="1" applyBorder="1" applyAlignment="1">
      <alignment horizontal="center"/>
    </xf>
    <xf numFmtId="0" fontId="25" fillId="33" borderId="21" xfId="0" applyFont="1" applyFill="1" applyBorder="1" applyAlignment="1">
      <alignment horizontal="center"/>
    </xf>
    <xf numFmtId="0" fontId="25" fillId="33" borderId="0" xfId="0" applyFont="1" applyFill="1" applyBorder="1" applyAlignment="1">
      <alignment horizont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0"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25" xfId="0" applyBorder="1" applyAlignment="1">
      <alignment horizontal="left" vertical="center" wrapText="1"/>
    </xf>
    <xf numFmtId="0" fontId="0" fillId="0" borderId="26" xfId="0" applyBorder="1" applyAlignment="1">
      <alignment horizontal="left" vertical="center" wrapText="1"/>
    </xf>
    <xf numFmtId="0" fontId="0" fillId="0" borderId="27" xfId="0" applyBorder="1" applyAlignment="1">
      <alignment horizontal="left" vertical="center" wrapText="1"/>
    </xf>
    <xf numFmtId="0" fontId="0" fillId="0" borderId="35" xfId="0" applyBorder="1" applyAlignment="1">
      <alignment horizontal="center" vertical="center"/>
    </xf>
    <xf numFmtId="0" fontId="0" fillId="0" borderId="36" xfId="0" applyBorder="1" applyAlignment="1">
      <alignment horizontal="center" vertical="center"/>
    </xf>
    <xf numFmtId="0" fontId="0" fillId="0" borderId="37" xfId="0" applyBorder="1" applyAlignment="1">
      <alignment horizontal="left" vertical="center" wrapText="1"/>
    </xf>
    <xf numFmtId="0" fontId="0" fillId="0" borderId="38" xfId="0" applyBorder="1" applyAlignment="1">
      <alignment horizontal="left" vertical="center" wrapText="1"/>
    </xf>
    <xf numFmtId="0" fontId="0" fillId="0" borderId="39" xfId="0" applyBorder="1" applyAlignment="1">
      <alignment horizontal="left" vertical="center" wrapText="1"/>
    </xf>
    <xf numFmtId="0" fontId="0" fillId="0" borderId="0" xfId="0" applyBorder="1" applyAlignment="1">
      <alignment horizontal="center" vertical="top" wrapText="1"/>
    </xf>
    <xf numFmtId="0" fontId="27" fillId="33" borderId="0" xfId="0" applyFont="1" applyFill="1" applyAlignment="1">
      <alignment horizontal="right"/>
    </xf>
    <xf numFmtId="0" fontId="23" fillId="33" borderId="0" xfId="0" applyFont="1" applyFill="1" applyAlignment="1">
      <alignment horizont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43" builtinId="5"/>
    <cellStyle name="Title" xfId="2" builtinId="15" customBuiltin="1"/>
    <cellStyle name="Total" xfId="18" builtinId="25" customBuiltin="1"/>
    <cellStyle name="Warning Text" xfId="15" builtinId="11" customBuiltin="1"/>
  </cellStyles>
  <dxfs count="207">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4"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4"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4"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4"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4"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4"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4"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4"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4"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numFmt numFmtId="4" formatCode="#,##0.00"/>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numFmt numFmtId="4" formatCode="#,##0.00"/>
      <fill>
        <patternFill patternType="solid">
          <fgColor indexed="64"/>
          <bgColor rgb="FF0A3F54"/>
        </patternFill>
      </fill>
    </dxf>
    <dxf>
      <font>
        <b val="0"/>
        <i val="0"/>
        <strike val="0"/>
        <condense val="0"/>
        <extend val="0"/>
        <outline val="0"/>
        <shadow val="0"/>
        <u val="none"/>
        <vertAlign val="baseline"/>
        <sz val="9"/>
        <color theme="0"/>
        <name val="Calibri"/>
        <scheme val="minor"/>
      </font>
      <numFmt numFmtId="4" formatCode="#,##0.00"/>
      <fill>
        <patternFill patternType="solid">
          <fgColor indexed="64"/>
          <bgColor rgb="FF0A3F54"/>
        </patternFill>
      </fill>
    </dxf>
    <dxf>
      <font>
        <b val="0"/>
        <i val="0"/>
        <strike val="0"/>
        <condense val="0"/>
        <extend val="0"/>
        <outline val="0"/>
        <shadow val="0"/>
        <u val="none"/>
        <vertAlign val="baseline"/>
        <sz val="9"/>
        <color theme="0"/>
        <name val="Calibri"/>
        <scheme val="minor"/>
      </font>
      <numFmt numFmtId="4" formatCode="#,##0.00"/>
      <fill>
        <patternFill patternType="solid">
          <fgColor indexed="64"/>
          <bgColor rgb="FF0A3F54"/>
        </patternFill>
      </fill>
    </dxf>
    <dxf>
      <font>
        <b val="0"/>
        <i val="0"/>
        <strike val="0"/>
        <condense val="0"/>
        <extend val="0"/>
        <outline val="0"/>
        <shadow val="0"/>
        <u val="none"/>
        <vertAlign val="baseline"/>
        <sz val="9"/>
        <color theme="0"/>
        <name val="Calibri"/>
        <scheme val="minor"/>
      </font>
      <numFmt numFmtId="4" formatCode="#,##0.00"/>
      <fill>
        <patternFill patternType="solid">
          <fgColor indexed="64"/>
          <bgColor rgb="FF0A3F54"/>
        </patternFill>
      </fill>
    </dxf>
    <dxf>
      <font>
        <b val="0"/>
        <i val="0"/>
        <strike val="0"/>
        <condense val="0"/>
        <extend val="0"/>
        <outline val="0"/>
        <shadow val="0"/>
        <u val="none"/>
        <vertAlign val="baseline"/>
        <sz val="9"/>
        <color theme="0"/>
        <name val="Calibri"/>
        <scheme val="minor"/>
      </font>
      <numFmt numFmtId="4" formatCode="#,##0.00"/>
      <fill>
        <patternFill patternType="solid">
          <fgColor indexed="64"/>
          <bgColor rgb="FF0A3F54"/>
        </patternFill>
      </fill>
    </dxf>
    <dxf>
      <font>
        <b val="0"/>
        <i val="0"/>
        <strike val="0"/>
        <condense val="0"/>
        <extend val="0"/>
        <outline val="0"/>
        <shadow val="0"/>
        <u val="none"/>
        <vertAlign val="baseline"/>
        <sz val="9"/>
        <color theme="0"/>
        <name val="Calibri"/>
        <scheme val="minor"/>
      </font>
      <numFmt numFmtId="4" formatCode="#,##0.00"/>
      <fill>
        <patternFill patternType="solid">
          <fgColor indexed="64"/>
          <bgColor rgb="FF0A3F54"/>
        </patternFill>
      </fill>
    </dxf>
    <dxf>
      <font>
        <b val="0"/>
        <i val="0"/>
        <strike val="0"/>
        <condense val="0"/>
        <extend val="0"/>
        <outline val="0"/>
        <shadow val="0"/>
        <u val="none"/>
        <vertAlign val="baseline"/>
        <sz val="9"/>
        <color theme="0"/>
        <name val="Calibri"/>
        <scheme val="minor"/>
      </font>
      <numFmt numFmtId="4" formatCode="#,##0.00"/>
      <fill>
        <patternFill patternType="solid">
          <fgColor indexed="64"/>
          <bgColor rgb="FF0A3F54"/>
        </patternFill>
      </fill>
    </dxf>
    <dxf>
      <font>
        <b val="0"/>
        <i val="0"/>
        <strike val="0"/>
        <condense val="0"/>
        <extend val="0"/>
        <outline val="0"/>
        <shadow val="0"/>
        <u val="none"/>
        <vertAlign val="baseline"/>
        <sz val="9"/>
        <color theme="0"/>
        <name val="Calibri"/>
        <scheme val="minor"/>
      </font>
      <numFmt numFmtId="4" formatCode="#,##0.00"/>
      <fill>
        <patternFill patternType="solid">
          <fgColor indexed="64"/>
          <bgColor rgb="FF0A3F54"/>
        </patternFill>
      </fill>
    </dxf>
    <dxf>
      <font>
        <b val="0"/>
        <i val="0"/>
        <strike val="0"/>
        <condense val="0"/>
        <extend val="0"/>
        <outline val="0"/>
        <shadow val="0"/>
        <u val="none"/>
        <vertAlign val="baseline"/>
        <sz val="9"/>
        <color theme="0"/>
        <name val="Calibri"/>
        <scheme val="minor"/>
      </font>
      <fill>
        <patternFill patternType="solid">
          <fgColor indexed="64"/>
          <bgColor rgb="FF0A3F54"/>
        </patternFill>
      </fill>
      <alignment horizontal="general" vertical="bottom" textRotation="0" wrapText="1" indent="0" justifyLastLine="0" shrinkToFit="0" readingOrder="0"/>
    </dxf>
    <dxf>
      <font>
        <b val="0"/>
        <i val="0"/>
        <strike val="0"/>
        <condense val="0"/>
        <extend val="0"/>
        <outline val="0"/>
        <shadow val="0"/>
        <u val="none"/>
        <vertAlign val="baseline"/>
        <sz val="9"/>
        <color theme="0"/>
        <name val="Calibri"/>
        <scheme val="minor"/>
      </font>
      <numFmt numFmtId="166" formatCode="m/d/yyyy;@"/>
      <fill>
        <patternFill patternType="solid">
          <fgColor indexed="64"/>
          <bgColor rgb="FF0A3F54"/>
        </patternFill>
      </fill>
    </dxf>
    <dxf>
      <font>
        <b val="0"/>
        <i val="0"/>
        <strike val="0"/>
        <condense val="0"/>
        <extend val="0"/>
        <outline val="0"/>
        <shadow val="0"/>
        <u val="none"/>
        <vertAlign val="baseline"/>
        <sz val="9"/>
        <color theme="0"/>
        <name val="Calibri"/>
        <scheme val="minor"/>
      </font>
      <numFmt numFmtId="166" formatCode="m/d/yyyy;@"/>
      <fill>
        <patternFill patternType="solid">
          <fgColor indexed="64"/>
          <bgColor rgb="FF0A3F54"/>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A3F54"/>
        </patternFill>
      </fill>
    </dxf>
    <dxf>
      <fill>
        <patternFill patternType="solid">
          <bgColor rgb="FF0A3F54"/>
        </patternFill>
      </fill>
    </dxf>
    <dxf>
      <font>
        <color theme="0"/>
      </font>
    </dxf>
    <dxf>
      <font>
        <color theme="0"/>
      </font>
    </dxf>
    <dxf>
      <fill>
        <patternFill patternType="solid">
          <bgColor rgb="FF0A3F54"/>
        </patternFill>
      </fill>
    </dxf>
    <dxf>
      <font>
        <color theme="0"/>
      </font>
    </dxf>
    <dxf>
      <fill>
        <patternFill>
          <bgColor rgb="FFEBBF1E"/>
        </patternFill>
      </fill>
    </dxf>
    <dxf>
      <fill>
        <patternFill>
          <bgColor rgb="FF0A3F54"/>
        </patternFill>
      </fill>
    </dxf>
    <dxf>
      <fill>
        <patternFill>
          <bgColor rgb="FF0A3F54"/>
        </patternFill>
      </fill>
    </dxf>
    <dxf>
      <font>
        <color theme="0"/>
      </font>
    </dxf>
    <dxf>
      <font>
        <color theme="0"/>
      </font>
    </dxf>
    <dxf>
      <fill>
        <patternFill>
          <bgColor rgb="FF0A3F54"/>
        </patternFill>
      </fill>
    </dxf>
    <dxf>
      <fill>
        <patternFill>
          <bgColor rgb="FF0A3F54"/>
        </patternFill>
      </fill>
    </dxf>
    <dxf>
      <numFmt numFmtId="167" formatCode="0.00_);\(0.00\)"/>
    </dxf>
    <dxf>
      <numFmt numFmtId="167" formatCode="0.00_);\(0.00\)"/>
    </dxf>
    <dxf>
      <numFmt numFmtId="167" formatCode="0.00_);\(0.00\)"/>
    </dxf>
    <dxf>
      <numFmt numFmtId="167" formatCode="0.00_);\(0.00\)"/>
    </dxf>
    <dxf>
      <numFmt numFmtId="167" formatCode="0.00_);\(0.00\)"/>
    </dxf>
    <dxf>
      <numFmt numFmtId="167" formatCode="0.00_);\(0.00\)"/>
    </dxf>
    <dxf>
      <numFmt numFmtId="4" formatCode="#,##0.00"/>
    </dxf>
    <dxf>
      <numFmt numFmtId="4" formatCode="#,##0.00"/>
    </dxf>
    <dxf>
      <numFmt numFmtId="4" formatCode="#,##0.00"/>
    </dxf>
    <dxf>
      <numFmt numFmtId="4" formatCode="#,##0.00"/>
    </dxf>
    <dxf>
      <numFmt numFmtId="4" formatCode="#,##0.00"/>
    </dxf>
    <dxf>
      <numFmt numFmtId="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A3F54"/>
        </patternFill>
      </fill>
    </dxf>
    <dxf>
      <fill>
        <patternFill patternType="solid">
          <bgColor rgb="FF0A3F54"/>
        </patternFill>
      </fill>
    </dxf>
    <dxf>
      <font>
        <color theme="0"/>
      </font>
    </dxf>
    <dxf>
      <font>
        <color theme="0"/>
      </font>
    </dxf>
    <dxf>
      <fill>
        <patternFill patternType="solid">
          <bgColor rgb="FF0A3F54"/>
        </patternFill>
      </fill>
    </dxf>
    <dxf>
      <font>
        <color theme="0"/>
      </font>
    </dxf>
    <dxf>
      <fill>
        <patternFill>
          <bgColor rgb="FFFFC000"/>
        </patternFill>
      </fill>
    </dxf>
    <dxf>
      <fill>
        <patternFill>
          <bgColor rgb="FF0A3F54"/>
        </patternFill>
      </fill>
    </dxf>
    <dxf>
      <font>
        <color theme="0"/>
      </font>
    </dxf>
    <dxf>
      <fill>
        <patternFill>
          <bgColor rgb="FF0A3F54"/>
        </patternFill>
      </fill>
    </dxf>
    <dxf>
      <fill>
        <patternFill>
          <bgColor rgb="FF0A3F54"/>
        </patternFill>
      </fill>
    </dxf>
    <dxf>
      <numFmt numFmtId="167" formatCode="0.00_);\(0.00\)"/>
    </dxf>
    <dxf>
      <numFmt numFmtId="167" formatCode="0.00_);\(0.00\)"/>
    </dxf>
    <dxf>
      <numFmt numFmtId="167" formatCode="0.00_);\(0.00\)"/>
    </dxf>
    <dxf>
      <numFmt numFmtId="167" formatCode="0.00_);\(0.00\)"/>
    </dxf>
    <dxf>
      <numFmt numFmtId="167" formatCode="0.00_);\(0.00\)"/>
    </dxf>
    <dxf>
      <numFmt numFmtId="167" formatCode="0.00_);\(0.00\)"/>
    </dxf>
    <dxf>
      <numFmt numFmtId="4" formatCode="#,##0.00"/>
    </dxf>
    <dxf>
      <numFmt numFmtId="4" formatCode="#,##0.00"/>
    </dxf>
    <dxf>
      <numFmt numFmtId="4" formatCode="#,##0.00"/>
    </dxf>
    <dxf>
      <numFmt numFmtId="4" formatCode="#,##0.00"/>
    </dxf>
    <dxf>
      <numFmt numFmtId="4" formatCode="#,##0.00"/>
    </dxf>
    <dxf>
      <numFmt numFmtId="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A3F54"/>
        </patternFill>
      </fill>
    </dxf>
    <dxf>
      <fill>
        <patternFill patternType="solid">
          <bgColor rgb="FF0A3F54"/>
        </patternFill>
      </fill>
    </dxf>
    <dxf>
      <font>
        <color theme="0"/>
      </font>
    </dxf>
    <dxf>
      <font>
        <color theme="0"/>
      </font>
    </dxf>
    <dxf>
      <fill>
        <patternFill patternType="solid">
          <bgColor rgb="FF0A3F54"/>
        </patternFill>
      </fill>
    </dxf>
    <dxf>
      <font>
        <color theme="0"/>
      </font>
    </dxf>
    <dxf>
      <fill>
        <patternFill>
          <bgColor rgb="FFEBBF1E"/>
        </patternFill>
      </fill>
    </dxf>
    <dxf>
      <fill>
        <patternFill>
          <bgColor rgb="FF0A3F54"/>
        </patternFill>
      </fill>
    </dxf>
    <dxf>
      <fill>
        <patternFill>
          <bgColor rgb="FF0A3F54"/>
        </patternFill>
      </fill>
    </dxf>
    <dxf>
      <fill>
        <patternFill>
          <bgColor rgb="FF0A3F54"/>
        </patternFill>
      </fill>
    </dxf>
    <dxf>
      <fill>
        <patternFill>
          <bgColor rgb="FF0A3F54"/>
        </patternFill>
      </fill>
    </dxf>
    <dxf>
      <numFmt numFmtId="167" formatCode="0.00_);\(0.00\)"/>
    </dxf>
    <dxf>
      <numFmt numFmtId="167" formatCode="0.00_);\(0.00\)"/>
    </dxf>
    <dxf>
      <numFmt numFmtId="167" formatCode="0.00_);\(0.00\)"/>
    </dxf>
    <dxf>
      <numFmt numFmtId="167" formatCode="0.00_);\(0.00\)"/>
    </dxf>
    <dxf>
      <numFmt numFmtId="167" formatCode="0.00_);\(0.00\)"/>
    </dxf>
    <dxf>
      <numFmt numFmtId="167" formatCode="0.00_);\(0.00\)"/>
    </dxf>
    <dxf>
      <numFmt numFmtId="4" formatCode="#,##0.00"/>
    </dxf>
    <dxf>
      <numFmt numFmtId="4" formatCode="#,##0.00"/>
    </dxf>
    <dxf>
      <numFmt numFmtId="4" formatCode="#,##0.00"/>
    </dxf>
    <dxf>
      <numFmt numFmtId="4" formatCode="#,##0.00"/>
    </dxf>
    <dxf>
      <numFmt numFmtId="4" formatCode="#,##0.00"/>
    </dxf>
    <dxf>
      <numFmt numFmtId="4" formatCode="#,##0.0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4" formatCode="#,##0.00"/>
    </dxf>
    <dxf>
      <numFmt numFmtId="4" formatCode="#,##0.00"/>
    </dxf>
    <dxf>
      <numFmt numFmtId="4" formatCode="#,##0.00"/>
    </dxf>
    <dxf>
      <numFmt numFmtId="4" formatCode="#,##0.00"/>
    </dxf>
    <dxf>
      <numFmt numFmtId="4" formatCode="#,##0.00"/>
    </dxf>
    <dxf>
      <numFmt numFmtId="4" formatCode="#,##0.00"/>
    </dxf>
    <dxf>
      <numFmt numFmtId="167" formatCode="0.00_);\(0.00\)"/>
    </dxf>
    <dxf>
      <numFmt numFmtId="167" formatCode="0.00_);\(0.00\)"/>
    </dxf>
    <dxf>
      <numFmt numFmtId="167" formatCode="0.00_);\(0.00\)"/>
    </dxf>
    <dxf>
      <numFmt numFmtId="167" formatCode="0.00_);\(0.00\)"/>
    </dxf>
    <dxf>
      <numFmt numFmtId="167" formatCode="0.00_);\(0.00\)"/>
    </dxf>
    <dxf>
      <numFmt numFmtId="167" formatCode="0.00_);\(0.00\)"/>
    </dxf>
    <dxf>
      <fill>
        <patternFill>
          <bgColor rgb="FF0A3F54"/>
        </patternFill>
      </fill>
    </dxf>
    <dxf>
      <fill>
        <patternFill>
          <bgColor rgb="FF0A3F54"/>
        </patternFill>
      </fill>
    </dxf>
    <dxf>
      <font>
        <color theme="0"/>
      </font>
    </dxf>
    <dxf>
      <font>
        <color theme="0"/>
      </font>
    </dxf>
    <dxf>
      <fill>
        <patternFill>
          <bgColor rgb="FF0A3F54"/>
        </patternFill>
      </fill>
    </dxf>
    <dxf>
      <fill>
        <patternFill>
          <bgColor rgb="FF0A3F54"/>
        </patternFill>
      </fill>
    </dxf>
    <dxf>
      <fill>
        <patternFill>
          <bgColor rgb="FFEBBF1E"/>
        </patternFill>
      </fill>
    </dxf>
    <dxf>
      <font>
        <color theme="0"/>
      </font>
    </dxf>
    <dxf>
      <fill>
        <patternFill patternType="solid">
          <bgColor rgb="FF0A3F54"/>
        </patternFill>
      </fill>
    </dxf>
    <dxf>
      <font>
        <color theme="0"/>
      </font>
    </dxf>
    <dxf>
      <font>
        <color theme="0"/>
      </font>
    </dxf>
    <dxf>
      <fill>
        <patternFill patternType="solid">
          <bgColor rgb="FF0A3F54"/>
        </patternFill>
      </fill>
    </dxf>
    <dxf>
      <fill>
        <patternFill patternType="solid">
          <bgColor rgb="FF0A3F54"/>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4" formatCode="#,##0.00"/>
    </dxf>
    <dxf>
      <numFmt numFmtId="4" formatCode="#,##0.00"/>
    </dxf>
    <dxf>
      <numFmt numFmtId="4" formatCode="#,##0.00"/>
    </dxf>
    <dxf>
      <numFmt numFmtId="4" formatCode="#,##0.00"/>
    </dxf>
    <dxf>
      <numFmt numFmtId="4" formatCode="#,##0.00"/>
    </dxf>
    <dxf>
      <numFmt numFmtId="4" formatCode="#,##0.00"/>
    </dxf>
    <dxf>
      <numFmt numFmtId="167" formatCode="0.00_);\(0.00\)"/>
    </dxf>
    <dxf>
      <numFmt numFmtId="167" formatCode="0.00_);\(0.00\)"/>
    </dxf>
    <dxf>
      <numFmt numFmtId="167" formatCode="0.00_);\(0.00\)"/>
    </dxf>
    <dxf>
      <numFmt numFmtId="167" formatCode="0.00_);\(0.00\)"/>
    </dxf>
    <dxf>
      <numFmt numFmtId="167" formatCode="0.00_);\(0.00\)"/>
    </dxf>
    <dxf>
      <numFmt numFmtId="167" formatCode="0.00_);\(0.00\)"/>
    </dxf>
    <dxf>
      <fill>
        <patternFill>
          <bgColor rgb="FF0A3F54"/>
        </patternFill>
      </fill>
    </dxf>
    <dxf>
      <fill>
        <patternFill>
          <bgColor rgb="FF0A3F54"/>
        </patternFill>
      </fill>
    </dxf>
    <dxf>
      <font>
        <color theme="0"/>
      </font>
    </dxf>
    <dxf>
      <fill>
        <patternFill>
          <bgColor rgb="FF0A3F54"/>
        </patternFill>
      </fill>
    </dxf>
    <dxf>
      <fill>
        <patternFill>
          <bgColor rgb="FFFFC000"/>
        </patternFill>
      </fill>
    </dxf>
    <dxf>
      <font>
        <color theme="0"/>
      </font>
    </dxf>
    <dxf>
      <fill>
        <patternFill patternType="solid">
          <bgColor rgb="FF0A3F54"/>
        </patternFill>
      </fill>
    </dxf>
    <dxf>
      <font>
        <color theme="0"/>
      </font>
    </dxf>
    <dxf>
      <font>
        <color theme="0"/>
      </font>
    </dxf>
    <dxf>
      <fill>
        <patternFill patternType="solid">
          <bgColor rgb="FF0A3F54"/>
        </patternFill>
      </fill>
    </dxf>
    <dxf>
      <fill>
        <patternFill patternType="solid">
          <bgColor rgb="FF0A3F54"/>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4" formatCode="#,##0.00"/>
    </dxf>
    <dxf>
      <numFmt numFmtId="4" formatCode="#,##0.00"/>
    </dxf>
    <dxf>
      <numFmt numFmtId="4" formatCode="#,##0.00"/>
    </dxf>
    <dxf>
      <numFmt numFmtId="4" formatCode="#,##0.00"/>
    </dxf>
    <dxf>
      <numFmt numFmtId="4" formatCode="#,##0.00"/>
    </dxf>
    <dxf>
      <numFmt numFmtId="4" formatCode="#,##0.00"/>
    </dxf>
    <dxf>
      <numFmt numFmtId="167" formatCode="0.00_);\(0.00\)"/>
    </dxf>
    <dxf>
      <numFmt numFmtId="167" formatCode="0.00_);\(0.00\)"/>
    </dxf>
    <dxf>
      <numFmt numFmtId="167" formatCode="0.00_);\(0.00\)"/>
    </dxf>
    <dxf>
      <numFmt numFmtId="167" formatCode="0.00_);\(0.00\)"/>
    </dxf>
    <dxf>
      <numFmt numFmtId="167" formatCode="0.00_);\(0.00\)"/>
    </dxf>
    <dxf>
      <numFmt numFmtId="167" formatCode="0.00_);\(0.00\)"/>
    </dxf>
    <dxf>
      <fill>
        <patternFill>
          <bgColor rgb="FF0A3F54"/>
        </patternFill>
      </fill>
    </dxf>
    <dxf>
      <fill>
        <patternFill>
          <bgColor rgb="FF0A3F54"/>
        </patternFill>
      </fill>
    </dxf>
    <dxf>
      <fill>
        <patternFill>
          <bgColor rgb="FF0A3F54"/>
        </patternFill>
      </fill>
    </dxf>
    <dxf>
      <fill>
        <patternFill>
          <bgColor rgb="FF0A3F54"/>
        </patternFill>
      </fill>
    </dxf>
    <dxf>
      <fill>
        <patternFill>
          <bgColor rgb="FFEBBF1E"/>
        </patternFill>
      </fill>
    </dxf>
    <dxf>
      <font>
        <color theme="0"/>
      </font>
    </dxf>
    <dxf>
      <fill>
        <patternFill patternType="solid">
          <bgColor rgb="FF0A3F54"/>
        </patternFill>
      </fill>
    </dxf>
    <dxf>
      <font>
        <color theme="0"/>
      </font>
    </dxf>
    <dxf>
      <font>
        <color theme="0"/>
      </font>
    </dxf>
    <dxf>
      <fill>
        <patternFill patternType="solid">
          <bgColor rgb="FF0A3F54"/>
        </patternFill>
      </fill>
    </dxf>
    <dxf>
      <fill>
        <patternFill patternType="solid">
          <bgColor rgb="FF0A3F54"/>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0"/>
        <name val="Calibri"/>
        <scheme val="minor"/>
      </font>
      <fill>
        <patternFill patternType="solid">
          <fgColor indexed="64"/>
          <bgColor rgb="FF0A3F54"/>
        </patternFill>
      </fill>
    </dxf>
    <dxf>
      <alignment vertical="top" textRotation="0" wrapText="0" justifyLastLine="0" shrinkToFit="0" readingOrder="0"/>
    </dxf>
    <dxf>
      <fill>
        <patternFill patternType="solid">
          <fgColor indexed="64"/>
          <bgColor rgb="FF0A3F54"/>
        </patternFill>
      </fill>
    </dxf>
  </dxfs>
  <tableStyles count="0" defaultTableStyle="TableStyleMedium2" defaultPivotStyle="PivotStyleLight16"/>
  <colors>
    <mruColors>
      <color rgb="FF0A3F54"/>
      <color rgb="FFEBBF1E"/>
      <color rgb="FF4F6476"/>
      <color rgb="FFACC2DF"/>
      <color rgb="FFDCDFE5"/>
      <color rgb="FF00848E"/>
      <color rgb="FF9A963C"/>
      <color rgb="FFCF6733"/>
      <color rgb="FF6B383B"/>
      <color rgb="FFFFC1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AR Aging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rgbClr val="0A3F54"/>
              </a:solidFill>
              <a:ln w="19050">
                <a:solidFill>
                  <a:schemeClr val="lt1"/>
                </a:solidFill>
              </a:ln>
              <a:effectLst/>
            </c:spPr>
            <c:extLst>
              <c:ext xmlns:c16="http://schemas.microsoft.com/office/drawing/2014/chart" uri="{C3380CC4-5D6E-409C-BE32-E72D297353CC}">
                <c16:uniqueId val="{00000001-12C7-40FB-9329-CBE8F51883A2}"/>
              </c:ext>
            </c:extLst>
          </c:dPt>
          <c:dPt>
            <c:idx val="1"/>
            <c:bubble3D val="0"/>
            <c:spPr>
              <a:solidFill>
                <a:srgbClr val="4F6476"/>
              </a:solidFill>
              <a:ln w="19050">
                <a:solidFill>
                  <a:schemeClr val="lt1"/>
                </a:solidFill>
              </a:ln>
              <a:effectLst/>
            </c:spPr>
            <c:extLst>
              <c:ext xmlns:c16="http://schemas.microsoft.com/office/drawing/2014/chart" uri="{C3380CC4-5D6E-409C-BE32-E72D297353CC}">
                <c16:uniqueId val="{00000003-12C7-40FB-9329-CBE8F51883A2}"/>
              </c:ext>
            </c:extLst>
          </c:dPt>
          <c:dPt>
            <c:idx val="2"/>
            <c:bubble3D val="0"/>
            <c:spPr>
              <a:solidFill>
                <a:srgbClr val="ACC2DF"/>
              </a:solidFill>
              <a:ln w="19050">
                <a:solidFill>
                  <a:schemeClr val="lt1"/>
                </a:solidFill>
              </a:ln>
              <a:effectLst/>
            </c:spPr>
            <c:extLst>
              <c:ext xmlns:c16="http://schemas.microsoft.com/office/drawing/2014/chart" uri="{C3380CC4-5D6E-409C-BE32-E72D297353CC}">
                <c16:uniqueId val="{00000005-12C7-40FB-9329-CBE8F51883A2}"/>
              </c:ext>
            </c:extLst>
          </c:dPt>
          <c:dPt>
            <c:idx val="3"/>
            <c:bubble3D val="0"/>
            <c:spPr>
              <a:solidFill>
                <a:srgbClr val="6B383B"/>
              </a:solidFill>
              <a:ln w="19050">
                <a:solidFill>
                  <a:schemeClr val="lt1"/>
                </a:solidFill>
              </a:ln>
              <a:effectLst/>
            </c:spPr>
            <c:extLst>
              <c:ext xmlns:c16="http://schemas.microsoft.com/office/drawing/2014/chart" uri="{C3380CC4-5D6E-409C-BE32-E72D297353CC}">
                <c16:uniqueId val="{00000007-12C7-40FB-9329-CBE8F51883A2}"/>
              </c:ext>
            </c:extLst>
          </c:dPt>
          <c:dPt>
            <c:idx val="4"/>
            <c:bubble3D val="0"/>
            <c:spPr>
              <a:solidFill>
                <a:srgbClr val="CF6733"/>
              </a:solidFill>
              <a:ln w="19050">
                <a:solidFill>
                  <a:schemeClr val="lt1"/>
                </a:solidFill>
              </a:ln>
              <a:effectLst/>
            </c:spPr>
            <c:extLst>
              <c:ext xmlns:c16="http://schemas.microsoft.com/office/drawing/2014/chart" uri="{C3380CC4-5D6E-409C-BE32-E72D297353CC}">
                <c16:uniqueId val="{00000009-12C7-40FB-9329-CBE8F51883A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Overview!$I$6:$I$10</c:f>
              <c:strCache>
                <c:ptCount val="5"/>
                <c:pt idx="0">
                  <c:v>Current</c:v>
                </c:pt>
                <c:pt idx="1">
                  <c:v>Aged1to30</c:v>
                </c:pt>
                <c:pt idx="2">
                  <c:v>Aged31to60</c:v>
                </c:pt>
                <c:pt idx="3">
                  <c:v>Aged61to90</c:v>
                </c:pt>
                <c:pt idx="4">
                  <c:v>AgedOver90</c:v>
                </c:pt>
              </c:strCache>
            </c:strRef>
          </c:cat>
          <c:val>
            <c:numRef>
              <c:f>Overview!$J$6:$J$10</c:f>
              <c:numCache>
                <c:formatCode>_("$"* #,##0.00_);_("$"* \(#,##0.00\);_("$"* "-"??_);_(@_)</c:formatCode>
                <c:ptCount val="5"/>
                <c:pt idx="0">
                  <c:v>0</c:v>
                </c:pt>
                <c:pt idx="1">
                  <c:v>0</c:v>
                </c:pt>
                <c:pt idx="2">
                  <c:v>0</c:v>
                </c:pt>
                <c:pt idx="3">
                  <c:v>0</c:v>
                </c:pt>
                <c:pt idx="4">
                  <c:v>0</c:v>
                </c:pt>
              </c:numCache>
            </c:numRef>
          </c:val>
          <c:extLst>
            <c:ext xmlns:c16="http://schemas.microsoft.com/office/drawing/2014/chart" uri="{C3380CC4-5D6E-409C-BE32-E72D297353CC}">
              <c16:uniqueId val="{0000000A-12C7-40FB-9329-CBE8F51883A2}"/>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Receivable</a:t>
            </a:r>
            <a:r>
              <a:rPr lang="en-US" baseline="0"/>
              <a:t> vs. Retention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percentStacked"/>
        <c:varyColors val="0"/>
        <c:ser>
          <c:idx val="0"/>
          <c:order val="0"/>
          <c:tx>
            <c:strRef>
              <c:f>Overview!$I$12</c:f>
              <c:strCache>
                <c:ptCount val="1"/>
                <c:pt idx="0">
                  <c:v>Retainage</c:v>
                </c:pt>
              </c:strCache>
            </c:strRef>
          </c:tx>
          <c:spPr>
            <a:solidFill>
              <a:srgbClr val="9A963C"/>
            </a:solidFill>
            <a:ln>
              <a:noFill/>
            </a:ln>
            <a:effectLst/>
          </c:spPr>
          <c:invertIfNegative val="1"/>
          <c:dLbls>
            <c:dLbl>
              <c:idx val="0"/>
              <c:layout>
                <c:manualLayout>
                  <c:x val="0.16695978992073554"/>
                  <c:y val="-0.2499998177311169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9704005642185821"/>
                      <c:h val="0.12016221930592007"/>
                    </c:manualLayout>
                  </c15:layout>
                </c:ext>
                <c:ext xmlns:c16="http://schemas.microsoft.com/office/drawing/2014/chart" uri="{C3380CC4-5D6E-409C-BE32-E72D297353CC}">
                  <c16:uniqueId val="{00000000-70C8-426B-BEE1-5159C8A9367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Overview!$J$12</c:f>
              <c:numCache>
                <c:formatCode>_("$"* #,##0.00_);_("$"* \(#,##0.00\);_("$"* "-"??_);_(@_)</c:formatCode>
                <c:ptCount val="1"/>
                <c:pt idx="0">
                  <c:v>0</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1-70C8-426B-BEE1-5159C8A9367C}"/>
            </c:ext>
          </c:extLst>
        </c:ser>
        <c:ser>
          <c:idx val="1"/>
          <c:order val="1"/>
          <c:tx>
            <c:strRef>
              <c:f>Overview!$I$13</c:f>
              <c:strCache>
                <c:ptCount val="1"/>
                <c:pt idx="0">
                  <c:v>TotalAged</c:v>
                </c:pt>
              </c:strCache>
            </c:strRef>
          </c:tx>
          <c:spPr>
            <a:solidFill>
              <a:srgbClr val="00848E"/>
            </a:solidFill>
            <a:ln>
              <a:noFill/>
            </a:ln>
            <a:effectLst/>
          </c:spPr>
          <c:invertIfNegative val="0"/>
          <c:dLbls>
            <c:dLbl>
              <c:idx val="0"/>
              <c:layout>
                <c:manualLayout>
                  <c:x val="0.17676184113559523"/>
                  <c:y val="-0.24999963546223397"/>
                </c:manualLayout>
              </c:layout>
              <c:showLegendKey val="0"/>
              <c:showVal val="1"/>
              <c:showCatName val="0"/>
              <c:showSerName val="0"/>
              <c:showPercent val="0"/>
              <c:showBubbleSize val="0"/>
              <c:extLst>
                <c:ext xmlns:c15="http://schemas.microsoft.com/office/drawing/2012/chart" uri="{CE6537A1-D6FC-4f65-9D91-7224C49458BB}">
                  <c15:layout>
                    <c:manualLayout>
                      <c:w val="0.27099418816857118"/>
                      <c:h val="0.16645851560221639"/>
                    </c:manualLayout>
                  </c15:layout>
                </c:ext>
                <c:ext xmlns:c16="http://schemas.microsoft.com/office/drawing/2014/chart" uri="{C3380CC4-5D6E-409C-BE32-E72D297353CC}">
                  <c16:uniqueId val="{00000002-70C8-426B-BEE1-5159C8A9367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Overview!$J$13</c:f>
              <c:numCache>
                <c:formatCode>_("$"* #,##0.00_);_("$"* \(#,##0.00\);_("$"* "-"??_);_(@_)</c:formatCode>
                <c:ptCount val="1"/>
                <c:pt idx="0">
                  <c:v>0</c:v>
                </c:pt>
              </c:numCache>
            </c:numRef>
          </c:val>
          <c:extLst>
            <c:ext xmlns:c16="http://schemas.microsoft.com/office/drawing/2014/chart" uri="{C3380CC4-5D6E-409C-BE32-E72D297353CC}">
              <c16:uniqueId val="{00000003-70C8-426B-BEE1-5159C8A9367C}"/>
            </c:ext>
          </c:extLst>
        </c:ser>
        <c:dLbls>
          <c:showLegendKey val="0"/>
          <c:showVal val="0"/>
          <c:showCatName val="0"/>
          <c:showSerName val="0"/>
          <c:showPercent val="0"/>
          <c:showBubbleSize val="0"/>
        </c:dLbls>
        <c:gapWidth val="219"/>
        <c:overlap val="100"/>
        <c:axId val="539595664"/>
        <c:axId val="539589784"/>
      </c:barChart>
      <c:catAx>
        <c:axId val="5395956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589784"/>
        <c:crosses val="autoZero"/>
        <c:auto val="1"/>
        <c:lblAlgn val="ctr"/>
        <c:lblOffset val="100"/>
        <c:noMultiLvlLbl val="0"/>
      </c:catAx>
      <c:valAx>
        <c:axId val="53958978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59566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12</xdr:col>
      <xdr:colOff>47625</xdr:colOff>
      <xdr:row>1</xdr:row>
      <xdr:rowOff>47625</xdr:rowOff>
    </xdr:from>
    <xdr:to>
      <xdr:col>18</xdr:col>
      <xdr:colOff>476250</xdr:colOff>
      <xdr:row>16</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12</xdr:col>
      <xdr:colOff>52387</xdr:colOff>
      <xdr:row>16</xdr:row>
      <xdr:rowOff>104776</xdr:rowOff>
    </xdr:from>
    <xdr:to>
      <xdr:col>18</xdr:col>
      <xdr:colOff>476250</xdr:colOff>
      <xdr:row>34</xdr:row>
      <xdr:rowOff>104776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4</xdr:col>
          <xdr:colOff>9525</xdr:colOff>
          <xdr:row>11</xdr:row>
          <xdr:rowOff>85725</xdr:rowOff>
        </xdr:from>
        <xdr:to>
          <xdr:col>5</xdr:col>
          <xdr:colOff>38100</xdr:colOff>
          <xdr:row>13</xdr:row>
          <xdr:rowOff>57150</xdr:rowOff>
        </xdr:to>
        <xdr:sp macro="" textlink="">
          <xdr:nvSpPr>
            <xdr:cNvPr id="3074" name="btnRefresh"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2</xdr:col>
      <xdr:colOff>219075</xdr:colOff>
      <xdr:row>5</xdr:row>
      <xdr:rowOff>85725</xdr:rowOff>
    </xdr:from>
    <xdr:to>
      <xdr:col>2</xdr:col>
      <xdr:colOff>1314603</xdr:colOff>
      <xdr:row>8</xdr:row>
      <xdr:rowOff>19120</xdr:rowOff>
    </xdr:to>
    <xdr:pic>
      <xdr:nvPicPr>
        <xdr:cNvPr id="6" name="Picture 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62075" y="666750"/>
          <a:ext cx="1095528" cy="5048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0</xdr:row>
          <xdr:rowOff>28575</xdr:rowOff>
        </xdr:from>
        <xdr:to>
          <xdr:col>3</xdr:col>
          <xdr:colOff>257175</xdr:colOff>
          <xdr:row>0</xdr:row>
          <xdr:rowOff>323850</xdr:rowOff>
        </xdr:to>
        <xdr:sp macro="" textlink="">
          <xdr:nvSpPr>
            <xdr:cNvPr id="7169" name="btnRefresh"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0</xdr:col>
      <xdr:colOff>304800</xdr:colOff>
      <xdr:row>0</xdr:row>
      <xdr:rowOff>142875</xdr:rowOff>
    </xdr:from>
    <xdr:to>
      <xdr:col>1</xdr:col>
      <xdr:colOff>609753</xdr:colOff>
      <xdr:row>3</xdr:row>
      <xdr:rowOff>70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4800" y="142875"/>
          <a:ext cx="1095528" cy="5048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0</xdr:row>
          <xdr:rowOff>28575</xdr:rowOff>
        </xdr:from>
        <xdr:to>
          <xdr:col>1</xdr:col>
          <xdr:colOff>1047750</xdr:colOff>
          <xdr:row>0</xdr:row>
          <xdr:rowOff>323850</xdr:rowOff>
        </xdr:to>
        <xdr:sp macro="" textlink="">
          <xdr:nvSpPr>
            <xdr:cNvPr id="8194" name="btnRefresh" hidden="1">
              <a:extLst>
                <a:ext uri="{63B3BB69-23CF-44E3-9099-C40C66FF867C}">
                  <a14:compatExt spid="_x0000_s8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0</xdr:col>
      <xdr:colOff>933450</xdr:colOff>
      <xdr:row>0</xdr:row>
      <xdr:rowOff>85725</xdr:rowOff>
    </xdr:from>
    <xdr:to>
      <xdr:col>0</xdr:col>
      <xdr:colOff>2028978</xdr:colOff>
      <xdr:row>2</xdr:row>
      <xdr:rowOff>95320</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33450" y="85725"/>
          <a:ext cx="1095528" cy="5048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0</xdr:row>
          <xdr:rowOff>28575</xdr:rowOff>
        </xdr:from>
        <xdr:to>
          <xdr:col>1</xdr:col>
          <xdr:colOff>1047750</xdr:colOff>
          <xdr:row>0</xdr:row>
          <xdr:rowOff>323850</xdr:rowOff>
        </xdr:to>
        <xdr:sp macro="" textlink="">
          <xdr:nvSpPr>
            <xdr:cNvPr id="10241" name="btnRefresh"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0</xdr:col>
      <xdr:colOff>180975</xdr:colOff>
      <xdr:row>0</xdr:row>
      <xdr:rowOff>114300</xdr:rowOff>
    </xdr:from>
    <xdr:to>
      <xdr:col>0</xdr:col>
      <xdr:colOff>1276503</xdr:colOff>
      <xdr:row>2</xdr:row>
      <xdr:rowOff>123895</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114300"/>
          <a:ext cx="1095528" cy="50489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0</xdr:row>
          <xdr:rowOff>28575</xdr:rowOff>
        </xdr:from>
        <xdr:to>
          <xdr:col>1</xdr:col>
          <xdr:colOff>1047750</xdr:colOff>
          <xdr:row>0</xdr:row>
          <xdr:rowOff>323850</xdr:rowOff>
        </xdr:to>
        <xdr:sp macro="" textlink="">
          <xdr:nvSpPr>
            <xdr:cNvPr id="9217" name="btnRefresh"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0</xdr:col>
      <xdr:colOff>180975</xdr:colOff>
      <xdr:row>0</xdr:row>
      <xdr:rowOff>114300</xdr:rowOff>
    </xdr:from>
    <xdr:to>
      <xdr:col>0</xdr:col>
      <xdr:colOff>1276503</xdr:colOff>
      <xdr:row>2</xdr:row>
      <xdr:rowOff>123895</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114300"/>
          <a:ext cx="1095528" cy="50489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Bill Orebaugh" refreshedDate="42311.34916863426" createdVersion="6" refreshedVersion="6" minRefreshableVersion="3" recordCount="1">
  <cacheSource type="worksheet">
    <worksheetSource name="tblARCollectionsSummary"/>
  </cacheSource>
  <cacheFields count="25">
    <cacheField name="ARCo" numFmtId="0">
      <sharedItems containsNonDate="0" containsString="0" containsBlank="1" containsNumber="1" containsInteger="1" minValue="1" maxValue="60" count="4">
        <m/>
        <n v="60" u="1"/>
        <n v="1" u="1"/>
        <n v="20" u="1"/>
      </sharedItems>
    </cacheField>
    <cacheField name="GLDept# " numFmtId="0">
      <sharedItems containsNonDate="0" containsString="0" containsBlank="1"/>
    </cacheField>
    <cacheField name="GLDeptName" numFmtId="0">
      <sharedItems containsNonDate="0" containsBlank="1" count="40">
        <m/>
        <s v="Mechanical Majors 3 WWC" u="1"/>
        <s v="Service Puget Sound" u="1"/>
        <s v="Energy WWE" u="1"/>
        <s v="Energy Spokane" u="1"/>
        <s v="Mechanical Majors 1 WWC" u="1"/>
        <s v="Energy Wisconsin" u="1"/>
        <s v="Union Labor" u="1"/>
        <s v="Energy Utah" u="1"/>
        <s v="Architectural Metals WWC" u="1"/>
        <s v="Electrical Majors WWC" u="1"/>
        <s v="Energy Management Services" u="1"/>
        <s v="Service Tacoma" u="1"/>
        <s v="Energy NorCal" u="1"/>
        <s v="M&amp;E Integrated Delivery" u="1"/>
        <s v="Engineering and Design" u="1"/>
        <s v="Facility Management Services" u="1"/>
        <s v="Industrial Construction Group" u="1"/>
        <s v="Mechanical Majors 2 WWC" u="1"/>
        <s v="Energy SoCal" u="1"/>
        <s v="Data Services WWC" u="1"/>
        <s v="Energy Plains" u="1"/>
        <s v="Service Oregon" u="1"/>
        <s v="Electrical Majors Oregon" u="1"/>
        <s v="Mechanical Majors INW" u="1"/>
        <s v="Innovation Center Seattle" u="1"/>
        <s v="Issue Management Services" u="1"/>
        <s v="Energy Oregon" u="1"/>
        <s v="Electrical SPG WWC" u="1"/>
        <s v="Shop and Logistics" u="1"/>
        <s v="Energy South" u="1"/>
        <s v="Energy Montana" u="1"/>
        <s v="Energy Minnesota" u="1"/>
        <s v="Energy Rocky Mtn" u="1"/>
        <s v="Fire Protection WWC" u="1"/>
        <s v="Mechanical Majors Oregon" u="1"/>
        <s v="Technical Svcs WWE" u="1"/>
        <s v="Mechanical SPG WWC" u="1"/>
        <s v="Corporate" u="1"/>
        <s v="Innovation Center Spokane" u="1"/>
      </sharedItems>
    </cacheField>
    <cacheField name="POCName" numFmtId="0">
      <sharedItems containsNonDate="0" containsBlank="1" count="1988">
        <m/>
        <s v="" u="1"/>
        <s v="WO:8004389" u="1"/>
        <s v="WO:8006827" u="1"/>
        <s v="WO:8006389" u="1"/>
        <s v="WO:9018091" u="1"/>
        <s v="WO:8005575" u="1"/>
        <s v="ANDREW WILLIAMSON" u="1"/>
        <s v="WO:8005043" u="1"/>
        <s v="WO:8006575" u="1"/>
        <s v="WO:8007575" u="1"/>
        <s v="WO:9023491" u="1"/>
        <s v="WO:8005761" u="1"/>
        <s v="WO:8006761" u="1"/>
        <s v="ALEXANDER WALKUP" u="1"/>
        <s v="WO:8004658" u="1"/>
        <s v="WO:8005658" u="1"/>
        <s v="WO:8006658" u="1"/>
        <s v="WO:8006126" u="1"/>
        <s v="DANIEL SHAW" u="1"/>
        <s v="WO:8007658" u="1"/>
        <s v="CHRISTOPHER MORRISON" u="1"/>
        <s v="WO:8006844" u="1"/>
        <s v="WO:8006312" u="1"/>
        <s v="WO:8006592" u="1"/>
        <s v="WO:8006060" u="1"/>
        <s v="WO:8007592" u="1"/>
        <s v="WO:8007060" u="1"/>
        <s v="WO:8001489" u="1"/>
        <s v="WO:8006209" u="1"/>
        <s v="WO:8006927" u="1"/>
        <s v="JAMES TROXELL" u="1"/>
        <s v="WO:8006489" u="1"/>
        <s v="WO:8007489" u="1"/>
        <s v="RYAN COMAZZETTO" u="1"/>
        <s v="WO:8005675" u="1"/>
        <s v="WO:9007312" u="1"/>
        <s v="WO:8007143" u="1"/>
        <s v="WO:8006861" u="1"/>
        <s v="JIM SCHULTZ" u="1"/>
        <s v="WO:9018526" u="1"/>
        <s v="DAN MCGEE" u="1"/>
        <s v="WO:8006226" u="1"/>
        <s v="WO:8007758" u="1"/>
        <s v="WO:8002692" u="1"/>
        <s v="WO:8006412" u="1"/>
        <s v="WO:8007944" u="1"/>
        <s v="WO:8002160" u="1"/>
        <s v="WO:9018609" u="1"/>
        <s v="WO:8007692" u="1"/>
        <s v="WO:8005057" u="1"/>
        <s v="WO:9022943" u="1"/>
        <s v="WO:8007057" u="1"/>
        <s v="WO:8004775" u="1"/>
        <s v="WO:8005243" u="1"/>
        <s v="WO:8003961" u="1"/>
        <s v="WO:8007243" u="1"/>
        <s v="BRAD BULL" u="1"/>
        <s v="WO:8006961" u="1"/>
        <s v="WO:8007961" u="1"/>
        <s v="ADAM MUELLER" u="1"/>
        <s v="PAUL GUSTAFSON" u="1"/>
        <s v="WO:8007858" u="1"/>
        <s v="WO:8007326" u="1"/>
        <s v="WO:8005074" u="1"/>
        <s v="WO:8002792" u="1"/>
        <s v="WO:8002260" u="1"/>
        <s v="WO:8007512" u="1"/>
        <s v="WO:8008074" u="1"/>
        <s v="WO:8005792" u="1"/>
        <s v="WO:8005260" u="1"/>
        <s v="WO:8006260" u="1"/>
        <s v="WO:8007260" u="1"/>
        <s v="WO:8005409" u="1"/>
        <s v="WO:8007409" u="1"/>
        <s v="WO:8006689" u="1"/>
        <s v="WO:9026325" u="1"/>
        <s v="WO:8007689" u="1"/>
        <s v="WO:8004875" u="1"/>
        <s v="WO:8004343" u="1"/>
        <s v="WO:8006875" u="1"/>
        <s v="WO:8006091" u="1"/>
        <s v="WO:8007091" u="1"/>
        <s v="WO:8004958" u="1"/>
        <s v="WO:8006426" u="1"/>
        <s v="WO:9026156" u="1"/>
        <s v="ROB CARLTON" u="1"/>
        <s v="WO:8005174" u="1"/>
        <s v="WO:8006612" u="1"/>
        <s v="WO:8003892" u="1"/>
        <s v="WO:8003360" u="1"/>
        <s v="WO:8007174" u="1"/>
        <s v="WO:8004360" u="1"/>
        <s v="WO:8006892" u="1"/>
        <s v="WO:8006360" u="1"/>
        <s v="WO:8007360" u="1"/>
        <s v="WO:8005257" u="1"/>
        <s v="WO:8002443" u="1"/>
        <s v="WO:8006257" u="1"/>
        <s v="WO:8005975" u="1"/>
        <s v="WO:9021891" u="1"/>
        <s v="WO:8006975" u="1"/>
        <s v="WO:8006443" u="1"/>
        <s v="WO:8004191" u="1"/>
        <s v="MATT DEMEUSE" u="1"/>
        <s v="MICHAEL FRANK" u="1"/>
        <s v="WO:8006191" u="1"/>
        <s v="WO:9023256" u="1"/>
        <s v="WO:8005274" u="1"/>
        <s v="WO:8007712" u="1"/>
        <s v="WO:8005992" u="1"/>
        <s v="MATTHEW THORNTON" u="1"/>
        <s v="WENDY GUMB" u="1"/>
        <s v="WO:8007460" u="1"/>
        <s v="WO:8006609" u="1"/>
        <s v="SUZANNE VANNATTER" u="1"/>
        <s v="WO:8007889" u="1"/>
        <s v="WO:8007357" u="1"/>
        <s v="WO:8007011" u="1"/>
        <s v="CHARLE MCNULTY" u="1"/>
        <s v="HANNAH BALL" u="1"/>
        <s v="NATHANIAL GOLDMAN" u="1"/>
        <s v="DOUGLAS RENSLOW" u="1"/>
        <s v="WO:8006626" u="1"/>
        <s v="WO:9018860" u="1"/>
        <s v="WO:8007374" u="1"/>
        <s v="WO:8005560" u="1"/>
        <s v="WO:8001989" u="1"/>
        <s v="WO:8006709" u="1"/>
        <s v="WO:8002457" u="1"/>
        <s v="WO:8007709" u="1"/>
        <s v="WO:9023625" u="1"/>
        <s v="WO:8006457" u="1"/>
        <s v="WO:8005643" u="1"/>
        <s v="WO:8006643" u="1"/>
        <s v="WO:8007643" u="1"/>
        <s v="WO:8001008" u="1"/>
        <s v="WO:8005391" u="1"/>
        <s v="WO:8007391" u="1"/>
        <s v="WO:8005008" u="1"/>
        <s v="WO:8007008" u="1"/>
        <s v="WO:8006726" u="1"/>
        <s v="WO:8006288" u="1"/>
        <s v="WO:8003912" u="1"/>
        <s v="WO:8007288" u="1"/>
        <s v="WO:8006912" u="1"/>
        <s v="PAT ROBERTS" u="1"/>
        <s v="WO:8006660" u="1"/>
        <s v="WO:8004809" u="1"/>
        <s v="WO:8006809" u="1"/>
        <s v="WO:8007025" u="1"/>
        <s v="WO:8004211" u="1"/>
        <s v="WO:8005743" u="1"/>
        <s v="WO:8005211" u="1"/>
        <s v="WO:8006211" u="1"/>
        <s v="JOSEPH KORTE" u="1"/>
        <s v="WO:8007491" u="1"/>
        <s v="WO:9018688" u="1"/>
        <s v="ERIK PIECZATKOWSKI" u="1"/>
        <s v="WO:8007108" u="1"/>
        <s v="WO:8004388" u="1"/>
        <s v="WO:8005826" u="1"/>
        <s v="WO:8006388" u="1"/>
        <s v="WO:9023490" u="1"/>
        <s v="WO:8007042" u="1"/>
        <s v="JOSEPH HAGAR" u="1"/>
        <s v="WO:9023639" u="1"/>
        <s v="WO:8004909" u="1"/>
        <s v="WO:8005909" u="1"/>
        <s v="WO:8006909" u="1"/>
        <s v="GREG CAVENER" u="1"/>
        <s v="WO:8002843" u="1"/>
        <s v="WO:8006657" u="1"/>
        <s v="WO:8007657" u="1"/>
        <s v="DAVE ROBINAUGH" u="1"/>
        <s v="WO:8004311" u="1"/>
        <s v="WO:8005843" u="1"/>
        <s v="WO:8006843" u="1"/>
        <s v="WO:8007311" u="1"/>
        <s v="WO:8007591" u="1"/>
        <s v="WO:8005208" u="1"/>
        <s v="WO:8006208" u="1"/>
        <s v="WO:8003488" u="1"/>
        <s v="WO:8007208" u="1"/>
        <s v="THOMAS GUICHARD" u="1"/>
        <s v="WO:8005926" u="1"/>
        <s v="WO:8006488" u="1"/>
        <s v="WO:8007926" u="1"/>
        <s v="WO:8007488" u="1"/>
        <s v="WO:8005674" u="1"/>
        <s v="WO:8006674" u="1"/>
        <s v="WO:8007674" u="1"/>
        <s v="WO:8007142" u="1"/>
        <s v="BILL SKIDMORE" u="1"/>
        <s v="WO:8006860" u="1"/>
        <s v="WO:8006039" u="1"/>
        <s v="WO:8007039" u="1"/>
        <s v="WO:8004225" u="1"/>
        <s v="WO:8005757" u="1"/>
        <s v="WO:9019273" u="1"/>
        <s v="WO:8002943" u="1"/>
        <s v="WO:8006225" u="1"/>
        <s v="WO:8007757" u="1"/>
        <s v="WO:8007225" u="1"/>
        <s v="WO:8006943" u="1"/>
        <s v="WO:8006411" u="1"/>
        <s v="RYAN YORK" u="1"/>
        <s v="WO:8004691" u="1"/>
        <s v="WO:8006691" u="1"/>
        <s v="WO:8007308" u="1"/>
        <s v="WO:8005056" u="1"/>
        <s v="JOHN STEWARD" u="1"/>
        <s v="WO:8006588" u="1"/>
        <s v="ANDREW LYNN" u="1"/>
        <s v="WO:8006774" u="1"/>
        <s v="WO:8006242" u="1"/>
        <s v="WO:8007774" u="1"/>
        <s v="WO:8007242" u="1"/>
        <s v="WO:8005960" u="1"/>
        <s v="WO:8007960" u="1"/>
        <s v="MICHAEL ANTONIETTI" u="1"/>
        <s v="JASON HERTZ" u="1"/>
        <s v="WO:8007139" u="1"/>
        <s v="WO:9018373" u="1"/>
        <s v="WO:8007857" u="1"/>
        <s v="WO:8006511" u="1"/>
        <s v="WO:8007511" u="1"/>
        <s v="WO:8008073" u="1"/>
        <s v="WO:8003408" u="1"/>
        <s v="WO:8006408" u="1"/>
        <s v="WO:8003156" u="1"/>
        <s v="WO:8004874" u="1"/>
        <s v="DAN RONCO" u="1"/>
        <s v="WO:8006342" u="1"/>
        <s v="WO:9018007" u="1"/>
        <s v="KEN CASE" u="1"/>
        <s v="MARJORIE MCCOY" u="1"/>
        <s v="WO:8004239" u="1"/>
        <s v="WO:8001425" u="1"/>
        <s v="VLADISLAV RAZUMOVICH" u="1"/>
        <s v="WO:8006957" u="1"/>
        <s v="WO:8007425" u="1"/>
        <s v="WO:8005173" u="1"/>
        <s v="WO:8006611" u="1"/>
        <s v="WO:8006173" u="1"/>
        <s v="WO:8006891" u="1"/>
        <s v="NED GEBERT" u="1"/>
        <s v="WO:8005508" u="1"/>
        <s v="WO:8006508" u="1"/>
        <s v="HENDRIK VAN HEMERT" u="1"/>
        <s v="WO:8003788" u="1"/>
        <s v="WO:8007508" u="1"/>
        <s v="WO:8004788" u="1"/>
        <s v="WO:9025424" u="1"/>
        <s v="WO:8002974" u="1"/>
        <s v="WO:8006788" u="1"/>
        <s v="WO:9019210" u="1"/>
        <s v="WO:9023610" u="1"/>
        <s v="WO:8003442" u="1"/>
        <s v="WO:8007256" u="1"/>
        <s v="WO:8004974" u="1"/>
        <s v="BILL MAURER" u="1"/>
        <s v="WO:8006442" u="1"/>
        <s v="WO:8005190" u="1"/>
        <s v="WO:8007190" u="1"/>
        <s v="WO:8004339" u="1"/>
        <s v="WO:8003525" u="1"/>
        <s v="WO:8007339" u="1"/>
        <s v="WO:8004087" u="1"/>
        <s v="WO:8006525" u="1"/>
        <s v="WO:8006087" u="1"/>
        <s v="WO:8007087" u="1"/>
        <s v="WO:8006711" u="1"/>
        <s v="WO:8006273" u="1"/>
        <s v="EVAN PATE" u="1"/>
        <s v="ADAM MICHAELIS" u="1"/>
        <s v="WO:8006991" u="1"/>
        <s v="JAKE BELL" u="1"/>
        <s v="WO:8006608" u="1"/>
        <s v="WO:8007608" u="1"/>
        <s v="JON UGELSTAD" u="1"/>
        <s v="WO:8004888" u="1"/>
        <s v="WO:8005356" u="1"/>
        <s v="WO:8006888" u="1"/>
        <s v="WO:8006356" u="1"/>
        <s v="WO:8006010" u="1"/>
        <s v="WO:8007542" u="1"/>
        <s v="WO:8007010" u="1"/>
        <s v="WO:8001439" u="1"/>
        <s v="JAMES TAYLOR" u="1"/>
        <s v="WO:8006625" u="1"/>
        <s v="FRANK GABRIEL" u="1"/>
        <s v="WO:8007187" u="1"/>
        <s v="WO:8005373" u="1"/>
        <s v="WO:8006811" u="1"/>
        <s v="WO:8006373" u="1"/>
        <s v="WO:8007373" u="1"/>
        <s v="WO:8005708" u="1"/>
        <s v="WO:9021624" u="1"/>
        <s v="WO:8005988" u="1"/>
        <s v="WO:8006988" u="1"/>
        <s v="WO:8004110" u="1"/>
        <s v="WO:9025372" u="1"/>
        <s v="WO:8005110" u="1"/>
        <s v="WO:8006642" u="1"/>
        <s v="WO:8006110" u="1"/>
        <s v="GERRY GALVIN" u="1"/>
        <s v="WO:8007110" u="1"/>
        <s v="THOMAS TELLEFSON" u="1"/>
        <s v="WO:8005539" u="1"/>
        <s v="WO:8001287" u="1"/>
        <s v="WO:8002725" u="1"/>
        <s v="WO:8004287" u="1"/>
        <s v="WO:8005287" u="1"/>
        <s v="WO:8006287" u="1"/>
        <s v="WO:8006911" u="1"/>
        <s v="JOSH OSBORN" u="1"/>
        <s v="WO:8007473" u="1"/>
        <s v="WO:8006808" u="1"/>
        <s v="WO:8002556" u="1"/>
        <s v="WO:9019510" u="1"/>
        <s v="WO:8006024" u="1"/>
        <s v="WO:8007024" u="1"/>
        <s v="WO:8006742" u="1"/>
        <s v="WO:8006210" u="1"/>
        <s v="WO:8007210" u="1"/>
        <s v="WO:8005490" u="1"/>
        <s v="WO:8002639" u="1"/>
        <s v="WO:8002107" u="1"/>
        <s v="WO:8003107" u="1"/>
        <s v="WO:8007490" u="1"/>
        <s v="WO:8006107" u="1"/>
        <s v="DAVE MCCLAIN" u="1"/>
        <s v="WO:8006825" u="1"/>
        <s v="WO:8007387" u="1"/>
        <s v="WO:8004573" u="1"/>
        <s v="WO:8005573" u="1"/>
        <s v="WO:8005041" u="1"/>
        <s v="ROBIN S FUNG" u="1"/>
        <s v="WO:8006041" u="1"/>
        <s v="ED STORTON" u="1"/>
        <s v="WO:8007573" u="1"/>
        <s v="WO:8007041" u="1"/>
        <s v="PETER FELZIEN" u="1"/>
        <s v="WO:8004908" u="1"/>
        <s v="WO:8005908" u="1"/>
        <s v="WO:8006908" u="1"/>
        <s v="MAYUR PATEL" u="1"/>
        <s v="WO:8006656" u="1"/>
        <s v="WO:8004310" u="1"/>
        <s v="WO:8006310" u="1"/>
        <s v="WO:8007310" u="1"/>
        <s v="WO:8001739" u="1"/>
        <s v="WO:8006590" u="1"/>
        <s v="WO:8007590" u="1"/>
        <s v="WO:8006207" u="1"/>
        <s v="WO:8003925" u="1"/>
        <s v="WO:8007207" u="1"/>
        <s v="WO:8006925" u="1"/>
        <s v="WO:8006487" u="1"/>
        <s v="WO:8007487" u="1"/>
        <s v="WO:8004141" u="1"/>
        <s v="WO:8005141" u="1"/>
        <s v="WO:8007141" u="1"/>
        <s v="WO:8002756" u="1"/>
        <s v="WO:8003756" u="1"/>
        <s v="WO:8002410" u="1"/>
        <s v="WO:8007224" u="1"/>
        <s v="WO:8004410" u="1"/>
        <s v="WO:8005942" u="1"/>
        <s v="WO:8006942" u="1"/>
        <s v="WO:8006410" u="1"/>
        <s v="WO:8007410" u="1"/>
        <s v="WO:8006690" u="1"/>
        <s v="WO:8003839" u="1"/>
        <s v="WO:8007690" u="1"/>
        <s v="WO:8005839" u="1"/>
        <s v="WO:8006839" u="1"/>
        <s v="WO:8006307" u="1"/>
        <s v="WO:8007839" u="1"/>
        <s v="WO:8005587" u="1"/>
        <s v="WO:8006587" u="1"/>
        <s v="WO:8007587" u="1"/>
        <s v="WO:8007055" u="1"/>
        <s v="WO:8005773" u="1"/>
        <s v="MIKE JOHNSON" u="1"/>
        <s v="WO:8006241" u="1"/>
        <s v="WO:8007241" u="1"/>
        <s v="JEFFREY STEWART" u="1"/>
        <s v="WO:8005138" u="1"/>
        <s v="KRISTINE DREHER" u="1"/>
        <s v="WO:8003324" u="1"/>
        <s v="WO:8007138" u="1"/>
        <s v="WO:8006324" u="1"/>
        <s v="WO:8007324" u="1"/>
        <s v="WO:8004510" u="1"/>
        <s v="WO:8004072" u="1"/>
        <s v="WO:8005510" u="1"/>
        <s v="WO:8006510" u="1"/>
        <s v="WO:8007510" u="1"/>
        <s v="WO:8001939" u="1"/>
        <s v="WO:8006790" u="1"/>
        <s v="WO:8005939" u="1"/>
        <s v="WO:8006939" u="1"/>
        <s v="WO:8006407" u="1"/>
        <s v="WO:8003687" u="1"/>
        <s v="WO:8007407" u="1"/>
        <s v="WO:8007155" u="1"/>
        <s v="WO:8006341" u="1"/>
        <s v="WO:8007341" u="1"/>
        <s v="ANGELA SPAGNUOLO" u="1"/>
        <s v="ERIC WOODELL" u="1"/>
        <s v="WO:8006238" u="1"/>
        <s v="WO:8007238" u="1"/>
        <s v="WO:8004956" u="1"/>
        <s v="WO:8006956" u="1"/>
        <s v="ALEX DANILYUK" u="1"/>
        <s v="WO:8006424" u="1"/>
        <s v="WO:8007424" u="1"/>
        <s v="WO:8005172" u="1"/>
        <s v="QUINN TOLBERT" u="1"/>
        <s v="WO:8003890" u="1"/>
        <s v="WO:8007172" u="1"/>
        <s v="WO:9018369" u="1"/>
        <s v="WO:8005890" u="1"/>
        <s v="WO:8002507" u="1"/>
        <s v="WO:8002069" u="1"/>
        <s v="MARK BARNARD" u="1"/>
        <s v="WO:8004069" u="1"/>
        <s v="WO:8003787" u="1"/>
        <s v="WO:8007507" u="1"/>
        <s v="WO:8004787" u="1"/>
        <s v="MEILEE FIX" u="1"/>
        <s v="WO:8006787" u="1"/>
        <s v="WO:8003973" u="1"/>
        <s v="WO:8003441" u="1"/>
        <s v="WO:8007255" u="1"/>
        <s v="WO:8006973" u="1"/>
        <s v="WO:8006441" u="1"/>
        <s v="WO:9018386" u="1"/>
        <s v="WO:8006338" u="1"/>
        <s v="WO:8007338" u="1"/>
        <s v="WO:8004524" u="1"/>
        <s v="WO:9019572" u="1"/>
        <s v="WO:8007524" u="1"/>
        <s v="WO:8003272" u="1"/>
        <s v="WO:8007086" u="1"/>
        <s v="WO:9015469" u="1"/>
        <s v="JAY WILSON" u="1"/>
        <s v="WO:8006710" u="1"/>
        <s v="WO:8006272" u="1"/>
        <s v="WO:8007710" u="1"/>
        <s v="WO:8004990" u="1"/>
        <s v="WO:8002607" u="1"/>
        <s v="WO:8006990" u="1"/>
        <s v="WO:9022337" u="1"/>
        <s v="WO:8004169" u="1"/>
        <s v="WO:8005169" u="1"/>
        <s v="WO:9026869" u="1"/>
        <s v="WO:8007607" u="1"/>
        <s v="WO:8007169" u="1"/>
        <s v="ASHLEE BARLISH" u="1"/>
        <s v="WO:8004355" u="1"/>
        <s v="WO:8006887" u="1"/>
        <s v="WO:8006355" u="1"/>
        <s v="WO:9013738" u="1"/>
        <s v="WO:8007355" u="1"/>
        <s v="WO:8005541" u="1"/>
        <s v="DAVID ROE" u="1"/>
        <s v="WO:8006541" u="1"/>
        <s v="WO:9025606" u="1"/>
        <s v="WO:8006438" u="1"/>
        <s v="WO:9026168" u="1"/>
        <s v="WO:9021540" u="1"/>
        <s v="WO:8001372" u="1"/>
        <s v="WO:8002810" u="1"/>
        <s v="WO:8006624" u="1"/>
        <s v="LAURIE PRATI" u="1"/>
        <s v="WO:8007624" u="1"/>
        <s v="WO:8007186" u="1"/>
        <s v="WO:8004810" u="1"/>
        <s v="JACOB FISHER" u="1"/>
        <s v="WO:8005372" u="1"/>
        <s v="WO:8006810" u="1"/>
        <s v="MICHELLE MEJIA" u="1"/>
        <s v="WO:9016223" u="1"/>
        <s v="WO:8006707" u="1"/>
        <s v="WO:8002455" u="1"/>
        <s v="WO:9022185" u="1"/>
        <s v="WO:8005455" u="1"/>
        <s v="WO:8006987" u="1"/>
        <s v="WO:8006455" u="1"/>
        <s v="WO:8007987" u="1"/>
        <s v="WO:8007455" u="1"/>
        <s v="WO:8006641" u="1"/>
        <s v="WO:8002538" u="1"/>
        <s v="WO:8003538" u="1"/>
        <s v="WO:8006538" u="1"/>
        <s v="WO:8006006" u="1"/>
        <s v="WO:8003724" u="1"/>
        <s v="WO:8003286" u="1"/>
        <s v="WO:8007006" u="1"/>
        <s v="WO:8005286" u="1"/>
        <s v="WO:8002910" u="1"/>
        <s v="WO:8006910" u="1"/>
        <s v="WO:8007910" u="1"/>
        <s v="WO:8007472" u="1"/>
        <s v="WO:8005369" u="1"/>
        <s v="WO:8006807" u="1"/>
        <s v="WO:8007369" u="1"/>
        <s v="WO:8004555" u="1"/>
        <s v="WO:8004023" u="1"/>
        <s v="MARK HOOD" u="1"/>
        <s v="WO:8007555" u="1"/>
        <s v="WO:8007023" u="1"/>
        <s v="HARRY MCCLANE" u="1"/>
        <s v="WO:8004638" u="1"/>
        <s v="JULIE CAMPBELL" u="1"/>
        <s v="WO:8006638" u="1"/>
        <s v="WO:8003824" u="1"/>
        <s v="WO:8007638" u="1"/>
        <s v="WO:8007106" u="1"/>
        <s v="ANDREW TRANOVICH" u="1"/>
        <s v="WO:8006824" u="1"/>
        <s v="WO:8007824" u="1"/>
        <s v="WO:8007386" u="1"/>
        <s v="WO:8004572" u="1"/>
        <s v="WO:8005572" u="1"/>
        <s v="WO:8007572" u="1"/>
        <s v="WO:8008040" u="1"/>
        <s v="WO:8003907" u="1"/>
        <s v="WO:8005469" u="1"/>
        <s v="WO:8006469" u="1"/>
        <s v="WO:8007907" u="1"/>
        <s v="COLIN PODELNYK" u="1"/>
        <s v="WO:8005123" u="1"/>
        <s v="WO:8006655" u="1"/>
        <s v="WO:8006123" u="1"/>
        <s v="WO:8007123" u="1"/>
        <s v="ROB SAWYER" u="1"/>
        <s v="MELISA VASQUEZ" u="1"/>
        <s v="WO:8002206" u="1"/>
        <s v="BRIAN ERDAHL" u="1"/>
        <s v="WO:8007738" u="1"/>
        <s v="WO:9022122" u="1"/>
        <s v="WO:8003486" u="1"/>
        <s v="WO:8007206" u="1"/>
        <s v="WO:8006486" u="1"/>
        <s v="WO:8007486" u="1"/>
        <s v="WO:8003140" u="1"/>
        <s v="WO:8006672" u="1"/>
        <s v="WO:8007672" u="1"/>
        <s v="WO:9020485" u="1"/>
        <s v="WO:9024205" u="1"/>
        <s v="WO:8005037" u="1"/>
        <s v="WO:8006037" u="1"/>
        <s v="BRETT SONTRA" u="1"/>
        <s v="WO:8003755" u="1"/>
        <s v="WO:8007569" u="1"/>
        <s v="WO:8006755" u="1"/>
        <s v="WO:8003941" u="1"/>
        <s v="WO:8007223" u="1"/>
        <s v="WO:8005941" u="1"/>
        <s v="WO:8006838" u="1"/>
        <s v="WO:8006306" u="1"/>
        <s v="WO:8007306" u="1"/>
        <s v="WO:8006586" u="1"/>
        <s v="WO:8006054" u="1"/>
        <s v="WO:8007054" u="1"/>
        <s v="WO:8006772" u="1"/>
        <s v="WO:8001137" u="1"/>
        <s v="MARK FRISK" u="1"/>
        <s v="WO:8004669" u="1"/>
        <s v="WO:8005669" u="1"/>
        <s v="COLIN COLEBROOK" u="1"/>
        <s v="WO:8001323" u="1"/>
        <s v="WO:8006669" u="1"/>
        <s v="ERIC JOSEF" u="1"/>
        <s v="WO:8006137" u="1"/>
        <s v="MIKE DOUD" u="1"/>
        <s v="WO:8007137" u="1"/>
        <s v="WO:8004323" u="1"/>
        <s v="WO:8005323" u="1"/>
        <s v="WO:8006855" u="1"/>
        <s v="WO:8006323" u="1"/>
        <s v="WO:8007323" u="1"/>
        <s v="WO:8007071" u="1"/>
        <s v="WO:9017986" u="1"/>
        <s v="WO:9018986" u="1"/>
        <s v="WO:8005938" u="1"/>
        <s v="WO:8006406" u="1"/>
        <s v="WO:8007406" u="1"/>
        <s v="JOHN GIBSON" u="1"/>
        <s v="WO:8005154" u="1"/>
        <s v="WO:8006686" u="1"/>
        <s v="WO:8006872" u="1"/>
        <s v="WO:8006340" u="1"/>
        <s v="WO:8007872" u="1"/>
        <s v="WO:9017005" u="1"/>
        <s v="MATTHEW ALLEN" u="1"/>
        <s v="WO:8004237" u="1"/>
        <s v="WO:8004423" u="1"/>
        <s v="WO:8006955" u="1"/>
        <s v="WO:8006423" u="1"/>
        <s v="WO:8007423" u="1"/>
        <s v="WO:8005171" u="1"/>
        <s v="MIKE MORIARTY" u="1"/>
        <s v="WO:8007171" u="1"/>
        <s v="ANDREW CRALL" u="1"/>
        <s v="WO:8006506" u="1"/>
        <s v="WO:8006068" u="1"/>
        <s v="WO:8007506" u="1"/>
        <s v="WO:8007068" u="1"/>
        <s v="WO:8004786" u="1"/>
        <s v="WO:8005786" u="1"/>
        <s v="JEFF PARILLA" u="1"/>
        <s v="WO:8006786" u="1"/>
        <s v="WO:8003972" u="1"/>
        <s v="WO:8007254" u="1"/>
        <s v="WO:8005972" u="1"/>
        <s v="WO:8005440" u="1"/>
        <s v="WO:8006972" u="1"/>
        <s v="WO:8006440" u="1"/>
        <s v="WO:9027170" u="1"/>
        <s v="WO:9014385" u="1"/>
        <s v="WO:9025319" u="1"/>
        <s v="SHELBY FOWLER" u="1"/>
        <s v="DAN WHITLOCK" u="1"/>
        <s v="WO:8005869" u="1"/>
        <s v="WO:8007337" u="1"/>
        <s v="WO:8004523" u="1"/>
        <s v="WO:8004085" u="1"/>
        <s v="WO:9019571" u="1"/>
        <s v="WO:8006523" u="1"/>
        <s v="WO:8006085" u="1"/>
        <s v="WO:9023971" u="1"/>
        <s v="WO:8007523" u="1"/>
        <s v="WO:8004271" u="1"/>
        <s v="WO:8005271" u="1"/>
        <s v="WO:8006271" u="1"/>
        <s v="HOBIE MILLER" u="1"/>
        <s v="WO:9025336" u="1"/>
        <s v="WO:8007606" u="1"/>
        <s v="WO:8007168" u="1"/>
        <s v="WO:8004886" u="1"/>
        <s v="WO:8005354" u="1"/>
        <s v="WO:8002540" u="1"/>
        <s v="WO:8007354" u="1"/>
        <s v="MIKE THORSEN" u="1"/>
        <s v="WO:8006540" u="1"/>
        <s v="STEPHEN MORGAN" u="1"/>
        <s v="WO:8006969" u="1"/>
        <s v="WO:9021353" u="1"/>
        <s v="WO:8007437" u="1"/>
        <s v="WO:8004623" u="1"/>
        <s v="WO:8005623" u="1"/>
        <s v="MATT WEGWORTH" u="1"/>
        <s v="WO:8004371" u="1"/>
        <s v="JIM WERRE" u="1"/>
        <s v="WO:8006371" u="1"/>
        <s v="WO:9016036" u="1"/>
        <s v="WO:8007371" u="1"/>
        <s v="WO:8005706" u="1"/>
        <s v="WO:9019754" u="1"/>
        <s v="WO:8006706" u="1"/>
        <s v="WO:8002454" u="1"/>
        <s v="WO:8006268" u="1"/>
        <s v="WO:8007706" u="1"/>
        <s v="WO:8007268" u="1"/>
        <s v="LARRY BURGHER" u="1"/>
        <s v="WO:9018940" u="1"/>
        <s v="WO:8005986" u="1"/>
        <s v="WO:8006454" u="1"/>
        <s v="WO:8005640" u="1"/>
        <s v="WO:8006640" u="1"/>
        <s v="WO:8007640" u="1"/>
        <s v="WO:8006099" u="1"/>
        <s v="WO:8007099" u="1"/>
        <s v="KEITH CHILLEM" u="1"/>
        <s v="CONNOR BEST" u="1"/>
        <s v="WO:8007471" u="1"/>
        <s v="JEFF KIGGINS" u="1"/>
        <s v="WO:8005806" u="1"/>
        <s v="WO:9019854" u="1"/>
        <s v="WO:8006368" u="1"/>
        <s v="WO:8002022" u="1"/>
        <s v="WO:8007368" u="1"/>
        <s v="WO:8004022" u="1"/>
        <s v="PATRICK STINE" u="1"/>
        <s v="WO:8007554" u="1"/>
        <s v="WO:8007022" u="1"/>
        <s v="WO:8004740" u="1"/>
        <s v="WO:8007740" u="1"/>
        <s v="SAM RATHERT" u="1"/>
        <s v="ANTHONY GALLUZZO" u="1"/>
        <s v="WO:8001823" u="1"/>
        <s v="WO:8002823" u="1"/>
        <s v="WO:8006637" u="1"/>
        <s v="WO:8007105" u="1"/>
        <s v="WO:8005385" u="1"/>
        <s v="DAMON CANNON" u="1"/>
        <s v="WO:8006385" u="1"/>
        <s v="WO:8007823" u="1"/>
        <s v="WO:9027021" u="1"/>
        <s v="WO:8005571" u="1"/>
        <s v="WO:8006571" u="1"/>
        <s v="CRAIG GAMB" u="1"/>
        <s v="WO:9018954" u="1"/>
        <s v="NORMAN FOSTER" u="1"/>
        <s v="WO:8005468" u="1"/>
        <s v="WO:9022384" u="1"/>
        <s v="PAUL STEINHEISER" u="1"/>
        <s v="WO:8006654" u="1"/>
        <s v="WO:8006122" u="1"/>
        <s v="WO:8007654" u="1"/>
        <s v="WO:8007122" u="1"/>
        <s v="WO:8005840" u="1"/>
        <s v="WO:8006019" u="1"/>
        <s v="WO:8007019" u="1"/>
        <s v="WO:8004737" u="1"/>
        <s v="WO:8003923" u="1"/>
        <s v="WO:8007737" u="1"/>
        <s v="WO:8007299" u="1"/>
        <s v="WO:8007205" u="1"/>
        <s v="CASEY MCGOURIN" u="1"/>
        <s v="KENSI HAMILTON" u="1"/>
        <s v="WO:8007485" u="1"/>
        <s v="WO:8007671" u="1"/>
        <s v="WO:8005568" u="1"/>
        <s v="WO:8006568" u="1"/>
        <s v="WO:8002222" u="1"/>
        <s v="WO:8006036" u="1"/>
        <s v="WO:8007568" u="1"/>
        <s v="WO:8003940" u="1"/>
        <s v="WO:8007222" u="1"/>
        <s v="WO:8004940" u="1"/>
        <s v="WO:8007119" u="1"/>
        <s v="DOUG SCHINDLER" u="1"/>
        <s v="WO:8006837" u="1"/>
        <s v="SIMONE HRYCENKO" u="1"/>
        <s v="WO:8007305" u="1"/>
        <s v="STEWART DE LA HUNT" u="1"/>
        <s v="WO:8007585" u="1"/>
        <s v="WO:8006771" u="1"/>
        <s v="WO:9022836" u="1"/>
        <s v="WO:8005668" u="1"/>
        <s v="WO:8006668" u="1"/>
        <s v="WO:8007668" u="1"/>
        <s v="WO:8007136" u="1"/>
        <s v="WO:8006322" u="1"/>
        <s v="WO:8007322" u="1"/>
        <s v="WO:8007070" u="1"/>
        <s v="WO:8006219" u="1"/>
        <s v="WO:8003937" u="1"/>
        <s v="WO:8003405" u="1"/>
        <s v="WO:8005405" u="1"/>
        <s v="WO:8006937" u="1"/>
        <s v="WO:8006499" u="1"/>
        <s v="REVVIE GREEN" u="1"/>
        <s v="WO:8002153" u="1"/>
        <s v="WO:8007499" u="1"/>
        <s v="WO:8007405" u="1"/>
        <s v="WO:8004685" u="1"/>
        <s v="WO:8005685" u="1"/>
        <s v="RENE MENDEZ" u="1"/>
        <s v="WO:8006153" u="1"/>
        <s v="WO:8007153" u="1"/>
        <s v="WO:8004871" u="1"/>
        <s v="WO:8007871" u="1"/>
        <s v="GRIFF KELLY" u="1"/>
        <s v="WO:8006768" u="1"/>
        <s v="WO:8006236" u="1"/>
        <s v="WO:8003954" u="1"/>
        <s v="JOHN FRITCHLEY" u="1"/>
        <s v="WO:8006954" u="1"/>
        <s v="WO:8006422" u="1"/>
        <s v="WO:9026152" u="1"/>
        <s v="WO:8007422" u="1"/>
        <s v="DAVID PICKETT" u="1"/>
        <s v="WO:8006319" u="1"/>
        <s v="WO:9016021" u="1"/>
        <s v="JAMES MILLER" u="1"/>
        <s v="SCOTT WOOD" u="1"/>
        <s v="JAMES CORDER" u="1"/>
        <s v="WO:8005599" u="1"/>
        <s v="JOHN FOGEL" u="1"/>
        <s v="WO:8005067" u="1"/>
        <s v="WO:8006505" u="1"/>
        <s v="WO:8007067" u="1"/>
        <s v="WO:8004785" u="1"/>
        <s v="WO:8003971" u="1"/>
        <s v="ERIK TEYEMA" u="1"/>
        <s v="GLENN BOLT" u="1"/>
        <s v="WO:8006336" u="1"/>
        <s v="WO:8007336" u="1"/>
        <s v="JEANETTE LAMPE" u="1"/>
        <s v="ALISON SCHWABE" u="1"/>
        <s v="WO:8002270" u="1"/>
        <s v="WO:8006084" u="1"/>
        <s v="WO:8007522" u="1"/>
        <s v="WO:8005270" u="1"/>
        <s v="WO:8006270" u="1"/>
        <s v="WO:8007270" u="1"/>
        <s v="WO:8006419" u="1"/>
        <s v="WO:8004605" u="1"/>
        <s v="WO:8005167" u="1"/>
        <s v="WO:8006699" u="1"/>
        <s v="WO:8006167" u="1"/>
        <s v="TREY SCAVONE" u="1"/>
        <s v="JOHN SNELL" u="1"/>
        <s v="WO:8007353" u="1"/>
        <s v="WO:8002968" u="1"/>
        <s v="NATE SMITH" u="1"/>
        <s v="AMY PEER" u="1"/>
        <s v="WO:9003167" u="1"/>
        <s v="WO:8006968" u="1"/>
        <s v="WO:8006436" u="1"/>
        <s v="KENNY BRANSON" u="1"/>
        <s v="JOHN MULL" u="1"/>
        <s v="WO:8005184" u="1"/>
        <s v="WO:8006622" u="1"/>
        <s v="WO:8006184" u="1"/>
        <s v="WO:8007622" u="1"/>
        <s v="WO:9021249" u="1"/>
        <s v="WO:8005370" u="1"/>
        <s v="WO:8006370" u="1"/>
        <s v="DAN ROBINSON" u="1"/>
        <s v="WO:8007519" u="1"/>
        <s v="WO:8004705" u="1"/>
        <s v="WO:8005799" u="1"/>
        <s v="WO:8002985" u="1"/>
        <s v="WO:8006799" u="1"/>
        <s v="WO:8006705" u="1"/>
        <s v="WO:8007705" u="1"/>
        <s v="WO:8007267" u="1"/>
        <s v="WO:8005985" u="1"/>
        <s v="WO:9015118" u="1"/>
        <s v="WO:8006985" u="1"/>
        <s v="WO:8006453" u="1"/>
        <s v="WO:8002536" u="1"/>
        <s v="KEVIN CALLIS" u="1"/>
        <s v="WO:8003098" u="1"/>
        <s v="WO:8004536" u="1"/>
        <s v="WO:8004098" u="1"/>
        <s v="WO:8004004" u="1"/>
        <s v="WO:8005004" u="1"/>
        <s v="WO:8006004" u="1"/>
        <s v="WO:8007004" u="1"/>
        <s v="WO:8004722" u="1"/>
        <s v="WO:8004284" u="1"/>
        <s v="WO:8006722" u="1"/>
        <s v="WO:8006284" u="1"/>
        <s v="WO:8007284" u="1"/>
        <s v="WO:8007470" u="1"/>
        <s v="WO:8006619" u="1"/>
        <s v="WO:8007619" u="1"/>
        <s v="WO:8005899" u="1"/>
        <s v="WO:9021721" u="1"/>
        <s v="WO:8006805" u="1"/>
        <s v="WO:8006367" u="1"/>
        <s v="WO:8004021" u="1"/>
        <s v="WO:8006553" u="1"/>
        <s v="BRIAN CRAWFORD" u="1"/>
        <s v="WO:8007021" u="1"/>
        <s v="WO:8002104" u="1"/>
        <s v="WO:8004104" u="1"/>
        <s v="WO:9025804" u="1"/>
        <s v="WO:8006636" u="1"/>
        <s v="WO:8006198" u="1"/>
        <s v="WO:8006104" u="1"/>
        <s v="WO:8003822" u="1"/>
        <s v="WO:8007636" u="1"/>
        <s v="WO:8007198" u="1"/>
        <s v="WO:8007104" u="1"/>
        <s v="WO:8005822" u="1"/>
        <s v="WO:8006822" u="1"/>
        <s v="WO:8006384" u="1"/>
        <s v="WO:8004570" u="1"/>
        <s v="WO:8006570" u="1"/>
        <s v="WO:8001999" u="1"/>
        <s v="WO:8005719" u="1"/>
        <s v="LYNNE STIMSON" u="1"/>
        <s v="WO:8007719" u="1"/>
        <s v="WO:8004905" u="1"/>
        <s v="WO:9020383" u="1"/>
        <s v="WO:8006905" u="1"/>
        <s v="WO:8002653" u="1"/>
        <s v="WO:8006467" u="1"/>
        <s v="WO:8007999" u="1"/>
        <s v="WO:8003121" u="1"/>
        <s v="WO:8005653" u="1"/>
        <s v="WO:8006653" u="1"/>
        <s v="WO:8007653" u="1"/>
        <s v="WO:8004018" u="1"/>
        <s v="WO:8001204" u="1"/>
        <s v="WO:8006018" u="1"/>
        <s v="WO:8007018" u="1"/>
        <s v="WO:8005298" u="1"/>
        <s v="WO:8006204" u="1"/>
        <s v="WO:8003922" u="1"/>
        <s v="WO:8004484" u="1"/>
        <s v="WO:8006922" u="1"/>
        <s v="MIKE COLLIGAN" u="1"/>
        <s v="WO:8007484" u="1"/>
        <s v="WO:8005567" u="1"/>
        <s v="WO:8006035" u="1"/>
        <s v="WO:8007035" u="1"/>
        <s v="WO:8004753" u="1"/>
        <s v="WO:8005753" u="1"/>
        <s v="WO:8005221" u="1"/>
        <s v="WO:8006753" u="1"/>
        <s v="WO:8007221" u="1"/>
        <s v="WO:9015166" u="1"/>
        <s v="WO:9017604" u="1"/>
        <s v="WO:8004118" u="1"/>
        <s v="WO:8001304" u="1"/>
        <s v="WO:8006118" u="1"/>
        <s v="WO:8007118" u="1"/>
        <s v="WO:8004836" u="1"/>
        <s v="WO:8005398" u="1"/>
        <s v="WO:8005304" u="1"/>
        <s v="WO:8006398" u="1"/>
        <s v="WO:8007304" u="1"/>
        <s v="WO:8005052" u="1"/>
        <s v="WO:8007584" u="1"/>
        <s v="WO:8007052" u="1"/>
        <s v="WO:8006770" u="1"/>
        <s v="LAUREN SNOOK" u="1"/>
        <s v="GARY MCKINNEY" u="1"/>
        <s v="WO:8004919" u="1"/>
        <s v="WO:8002135" u="1"/>
        <s v="WO:8005667" u="1"/>
        <s v="AUDIE WALLACE" u="1"/>
        <s v="WO:8006667" u="1"/>
        <s v="WO:8006135" u="1"/>
        <s v="WO:8007667" u="1"/>
        <s v="WO:9022051" u="1"/>
        <s v="WO:8007135" u="1"/>
        <s v="WO:8006321" u="1"/>
        <s v="WO:8007321" u="1"/>
        <s v="ERIK BONDO" u="1"/>
        <s v="ANDREA VAN BLARICOM" u="1"/>
        <s v="WO:9019266" u="1"/>
        <s v="WO:8006218" u="1"/>
        <s v="WO:8004936" u="1"/>
        <s v="WO:8005936" u="1"/>
        <s v="WO:8005498" u="1"/>
        <s v="WO:9022852" u="1"/>
        <s v="WO:8002684" u="1"/>
        <s v="WO:8006498" u="1"/>
        <s v="WO:8006404" u="1"/>
        <s v="JOHN THOMPSON" u="1"/>
        <s v="WO:8007498" u="1"/>
        <s v="WO:8004152" u="1"/>
        <s v="WO:8006684" u="1"/>
        <s v="WO:8006152" u="1"/>
        <s v="WO:8006870" u="1"/>
        <s v="JOSH HARWOOD" u="1"/>
        <s v="WO:8007049" u="1"/>
        <s v="WO:8004235" u="1"/>
        <s v="WO:8006235" u="1"/>
        <s v="WO:8003421" u="1"/>
        <s v="WO:8007235" u="1"/>
        <s v="WO:8006953" u="1"/>
        <s v="CHRIS SAWYER" u="1"/>
        <s v="WO:8006421" u="1"/>
        <s v="TONY ROSSI" u="1"/>
        <s v="BRADLEY KONYN" u="1"/>
        <s v="WO:8004318" u="1"/>
        <s v="WO:8001066" u="1"/>
        <s v="WO:8002598" u="1"/>
        <s v="JOSH CARLSON" u="1"/>
        <s v="WO:8004504" u="1"/>
        <s v="WO:8004066" u="1"/>
        <s v="WO:8005066" u="1"/>
        <s v="WO:8006598" u="1"/>
        <s v="WO:8007504" u="1"/>
        <s v="WO:8007066" u="1"/>
        <s v="WO:8006252" u="1"/>
        <s v="JED REYNOLDS" u="1"/>
        <s v="WO:8007252" u="1"/>
        <s v="WO:8005970" u="1"/>
        <s v="WO:8006970" u="1"/>
        <s v="WO:8006149" u="1"/>
        <s v="WO:8007335" u="1"/>
        <s v="WO:8006521" u="1"/>
        <s v="WO:8007521" u="1"/>
        <s v="WO:8007083" u="1"/>
        <s v="WO:8008083" u="1"/>
        <s v="SCOTT SPITZER" u="1"/>
        <s v="WO:8003418" u="1"/>
        <s v="WO:9018466" u="1"/>
        <s v="WO:9021866" u="1"/>
        <s v="WO:8005418" u="1"/>
        <s v="CARY JANZ" u="1"/>
        <s v="WO:8006418" u="1"/>
        <s v="WO:9026866" u="1"/>
        <s v="WO:8006698" u="1"/>
        <s v="WO:8006604" u="1"/>
        <s v="WO:8007604" u="1"/>
        <s v="WO:8006884" u="1"/>
        <s v="WO:8006352" u="1"/>
        <s v="WO:8002435" u="1"/>
        <s v="WO:8007249" u="1"/>
        <s v="WO:8005967" u="1"/>
        <s v="WO:8006967" u="1"/>
        <s v="WO:8006435" u="1"/>
        <s v="WO:9014818" u="1"/>
        <s v="WO:8004183" u="1"/>
        <s v="HARLAN WARD" u="1"/>
        <s v="WO:8005621" u="1"/>
        <s v="WO:8006621" u="1"/>
        <s v="WO:9021248" u="1"/>
        <s v="WO:8006518" u="1"/>
        <s v="WO:8006704" u="1"/>
        <s v="WO:8003984" u="1"/>
        <s v="WO:8007704" u="1"/>
        <s v="WO:8003452" u="1"/>
        <s v="WO:8004452" u="1"/>
        <s v="MARK HANKIN" u="1"/>
        <s v="WO:8006984" u="1"/>
        <s v="WO:8006452" u="1"/>
        <s v="WO:8007984" u="1"/>
        <s v="WO:8007452" u="1"/>
        <s v="WO:8003349" u="1"/>
        <s v="WO:8002535" u="1"/>
        <s v="WO:8006349" u="1"/>
        <s v="WO:8007349" u="1"/>
        <s v="KELLY HANI" u="1"/>
        <s v="WO:8003003" u="1"/>
        <s v="WO:8005003" u="1"/>
        <s v="WO:8006535" u="1"/>
        <s v="WO:8006097" u="1"/>
        <s v="WO:8007003" u="1"/>
        <s v="WO:8006283" u="1"/>
        <s v="WO:8007283" u="1"/>
        <s v="JOHN CARLSON" u="1"/>
        <s v="WO:8005618" u="1"/>
        <s v="WO:8002804" u="1"/>
        <s v="WO:8007618" u="1"/>
        <s v="DAVID RAY" u="1"/>
        <s v="JOHN CASSANEGO" u="1"/>
        <s v="WO:8005804" u="1"/>
        <s v="WO:8006898" u="1"/>
        <s v="KYLE GOLD" u="1"/>
        <s v="WO:8006366" u="1"/>
        <s v="WO:8007804" u="1"/>
        <s v="WO:8003552" u="1"/>
        <s v="WO:8005020" u="1"/>
        <s v="WO:8006552" u="1"/>
        <s v="WO:8007552" u="1"/>
        <s v="WO:8007020" u="1"/>
        <s v="AARON SEYMOUR" u="1"/>
        <s v="WO:8006449" u="1"/>
        <s v="WO:8007449" u="1"/>
        <s v="WO:8005635" u="1"/>
        <s v="WO:8006635" u="1"/>
        <s v="WO:8006197" u="1"/>
        <s v="WO:8007635" u="1"/>
        <s v="WO:8007103" u="1"/>
        <s v="WO:8006821" u="1"/>
        <s v="WO:8005718" u="1"/>
        <s v="WO:8006718" u="1"/>
        <s v="WO:8004904" u="1"/>
        <s v="WO:8004466" u="1"/>
        <s v="WO:8005904" u="1"/>
        <s v="WO:8006904" u="1"/>
        <s v="WO:8002120" u="1"/>
        <s v="WO:8004120" u="1"/>
        <s v="WO:8006652" u="1"/>
        <s v="WO:8007652" u="1"/>
        <s v="WO:8004017" u="1"/>
        <s v="WO:8005549" u="1"/>
        <s v="WO:8006549" u="1"/>
        <s v="WO:8007549" u="1"/>
        <s v="WO:8004203" u="1"/>
        <s v="WO:8005297" u="1"/>
        <s v="WO:8006735" u="1"/>
        <s v="WO:8006297" u="1"/>
        <s v="WO:8006203" u="1"/>
        <s v="WO:8003921" u="1"/>
        <s v="WO:8007735" u="1"/>
        <s v="WO:8007203" u="1"/>
        <s v="WO:8004921" u="1"/>
        <s v="WO:8006921" u="1"/>
        <s v="WO:8007483" u="1"/>
        <s v="WO:8001818" u="1"/>
        <s v="MATT PEREIRA" u="1"/>
        <s v="WO:8006818" u="1"/>
        <s v="WO:8007818" u="1"/>
        <s v="WO:8003034" u="1"/>
        <s v="WO:9026202" u="1"/>
        <s v="WO:8007034" u="1"/>
        <s v="WO:8006752" u="1"/>
        <s v="DEBBIE CASE" u="1"/>
        <s v="WO:9014883" u="1"/>
        <s v="WO:8004117" u="1"/>
        <s v="WO:8006649" u="1"/>
        <s v="WO:8007117" u="1"/>
        <s v="WO:8004303" u="1"/>
        <s v="WO:8005835" u="1"/>
        <s v="WO:8006835" u="1"/>
        <s v="WO:8002583" u="1"/>
        <s v="WO:8006397" u="1"/>
        <s v="WO:8006303" u="1"/>
        <s v="WO:8005583" u="1"/>
        <s v="WO:8006583" u="1"/>
        <s v="WO:8006051" u="1"/>
        <s v="WO:9022116" u="1"/>
        <s v="WO:8005918" u="1"/>
        <s v="WO:8006918" u="1"/>
        <s v="WO:8005666" u="1"/>
        <s v="WO:8005134" u="1"/>
        <s v="WO:8006666" u="1"/>
        <s v="WO:9026396" u="1"/>
        <s v="WO:8006134" u="1"/>
        <s v="WO:8003852" u="1"/>
        <s v="WO:8007666" u="1"/>
        <s v="WO:8007134" u="1"/>
        <s v="WO:8004320" u="1"/>
        <s v="WO:8005852" u="1"/>
        <s v="WO:8006852" u="1"/>
        <s v="WO:8007852" u="1"/>
        <s v="WO:8007320" u="1"/>
        <s v="WO:8006217" u="1"/>
        <s v="WO:8003935" u="1"/>
        <s v="WO:8007217" u="1"/>
        <s v="WO:8005497" u="1"/>
        <s v="WO:8006935" u="1"/>
        <s v="WO:9022851" u="1"/>
        <s v="WO:8007497" u="1"/>
        <s v="WO:8005683" u="1"/>
        <s v="WO:8006683" u="1"/>
        <s v="WO:8002048" u="1"/>
        <s v="WO:9020496" u="1"/>
        <s v="CRAIG EMERICK" u="1"/>
        <s v="WO:8007048" u="1"/>
        <s v="WO:8005234" u="1"/>
        <s v="MIKE DONALDSON" u="1"/>
        <s v="WO:8005952" u="1"/>
        <s v="WO:8006952" u="1"/>
        <s v="WO:8006420" u="1"/>
        <s v="WO:8007420" u="1"/>
        <s v="WO:8002317" u="1"/>
        <s v="WO:8005849" u="1"/>
        <s v="WO:8006849" u="1"/>
        <s v="WO:8002597" u="1"/>
        <s v="WO:8006317" u="1"/>
        <s v="WO:9023765" u="1"/>
        <s v="WO:8005503" u="1"/>
        <s v="MADELINE SIMON" u="1"/>
        <s v="WO:8006597" u="1"/>
        <s v="WO:8007503" u="1"/>
        <s v="WO:8007065" u="1"/>
        <s v="WO:8005783" u="1"/>
        <s v="WO:9026951" u="1"/>
        <s v="WO:8006251" u="1"/>
        <s v="KEVIN CONNELL" u="1"/>
        <s v="ZACK SCOTT" u="1"/>
        <s v="WO:8007148" u="1"/>
        <s v="GARY MCMANUS" u="1"/>
        <s v="WO:8006866" u="1"/>
        <s v="DOYLE KAHABKA" u="1"/>
        <s v="JEFF ROGERS" u="1"/>
        <s v="WO:8007334" u="1"/>
        <s v="WO:8005520" u="1"/>
        <s v="WO:8006520" u="1"/>
        <s v="WO:8007520" u="1"/>
        <s v="WO:8007082" u="1"/>
        <s v="WO:9019717" u="1"/>
        <s v="KATHRYN WINGARD" u="1"/>
        <s v="FLOYD SPEARS" u="1"/>
        <s v="WO:8001697" u="1"/>
        <s v="WO:8001603" u="1"/>
        <s v="WO:8006417" u="1"/>
        <s v="WO:8007417" u="1"/>
        <s v="WO:8006697" u="1"/>
        <s v="WO:8006883" u="1"/>
        <s v="WO:8007351" u="1"/>
        <s v="SHARON WILEY" u="1"/>
        <s v="MICHAEL MCDERMOTT" u="1"/>
        <s v="WO:9018202" u="1"/>
        <s v="WO:8002966" u="1"/>
        <s v="WO:8006248" u="1"/>
        <s v="WO:8003434" u="1"/>
        <s v="WO:8007248" u="1"/>
        <s v="WO:8006434" u="1"/>
        <s v="WO:8005182" u="1"/>
        <s v="WO:8007182" u="1"/>
        <s v="JACOB WILSON" u="1"/>
        <s v="WO:9014751" u="1"/>
        <s v="WO:8002703" u="1"/>
        <s v="WO:8006079" u="1"/>
        <s v="WO:8003703" u="1"/>
        <s v="WO:8007517" u="1"/>
        <s v="WO:8005797" u="1"/>
        <s v="JOLENE ROBINSON" u="1"/>
        <s v="WO:8006265" u="1"/>
        <s v="WO:8007797" u="1"/>
        <s v="WO:8005983" u="1"/>
        <s v="WO:8006983" u="1"/>
        <s v="WO:8007983" u="1"/>
        <s v="WO:8007451" u="1"/>
        <s v="WO:8006348" u="1"/>
        <s v="TOD WHITT" u="1"/>
        <s v="WO:8004002" u="1"/>
        <s v="WO:8005002" u="1"/>
        <s v="WO:8006534" u="1"/>
        <s v="WO:8006002" u="1"/>
        <s v="WO:8004282" u="1"/>
        <s v="WO:8005720" u="1"/>
        <s v="WO:8006720" u="1"/>
        <s v="WO:8006282" u="1"/>
        <s v="ROBERT HAIL" u="1"/>
        <s v="WO:8005179" u="1"/>
        <s v="WO:8006179" u="1"/>
        <s v="WO:8007617" u="1"/>
        <s v="WO:8007179" u="1"/>
        <s v="WO:8006803" u="1"/>
        <s v="WO:8007803" u="1"/>
        <s v="WO:8007365" u="1"/>
        <s v="CLINT HAWN" u="1"/>
        <s v="WO:8005551" u="1"/>
        <s v="WO:8006551" u="1"/>
        <s v="MIKE TALARICO" u="1"/>
        <s v="WO:8003448" u="1"/>
        <s v="WO:8006448" u="1"/>
        <s v="WO:8007448" u="1"/>
        <s v="WO:9027178" u="1"/>
        <s v="WO:8003102" u="1"/>
        <s v="WO:8005634" u="1"/>
        <s v="WO:8001382" u="1"/>
        <s v="WO:8006196" u="1"/>
        <s v="WO:8006102" u="1"/>
        <s v="WO:8007196" u="1"/>
        <s v="WO:8007102" u="1"/>
        <s v="GARTH MCCANN" u="1"/>
        <s v="WO:8006820" u="1"/>
        <s v="ACE MARTIN" u="1"/>
        <s v="PAUL WOODS" u="1"/>
        <s v="WO:9015951" u="1"/>
        <s v="WO:8007717" u="1"/>
        <s v="WO:8007279" u="1"/>
        <s v="PAUL BREDESON" u="1"/>
        <s v="DOUG MIRKOVICH" u="1"/>
        <s v="WO:8006997" u="1"/>
        <s v="WO:8006465" u="1"/>
        <s v="ANNE NEELY" u="1"/>
        <s v="WO:9016848" u="1"/>
        <s v="WO:8006651" u="1"/>
        <s v="WO:8007651" u="1"/>
        <s v="WO:8006016" u="1"/>
        <s v="WO:8007548" u="1"/>
        <s v="WO:8007016" u="1"/>
        <s v="WO:9017250" u="1"/>
        <s v="WO:8006202" u="1"/>
        <s v="WO:8007734" u="1"/>
        <s v="WO:8007202" u="1"/>
        <s v="WO:8004482" u="1"/>
        <s v="WO:8006920" u="1"/>
        <s v="WO:8006482" u="1"/>
        <s v="WO:8007920" u="1"/>
        <s v="SCOTT HUEBNER" u="1"/>
        <s v="WO:8007482" u="1"/>
        <s v="MATT OPHARDT" u="1"/>
        <s v="WO:9018147" u="1"/>
        <s v="WO:8005817" u="1"/>
        <s v="WO:8007379" u="1"/>
        <s v="PAUL HAWLEY" u="1"/>
        <s v="WAYNE TEDROW" u="1"/>
        <s v="STEVE RUBY" u="1"/>
        <s v="WO:8005033" u="1"/>
        <s v="WO:8006565" u="1"/>
        <s v="WO:8005751" u="1"/>
        <s v="WO:8006751" u="1"/>
        <s v="WO:8001648" u="1"/>
        <s v="WO:8001396" u="1"/>
        <s v="WO:8007648" u="1"/>
        <s v="WO:8007116" u="1"/>
        <s v="WO:8006302" u="1"/>
        <s v="WO:8007396" u="1"/>
        <s v="WO:8007302" u="1"/>
        <s v="WO:8003050" u="1"/>
        <s v="JAMES SLATER" u="1"/>
        <s v="WO:8004582" u="1"/>
        <s v="WO:8005582" u="1"/>
        <s v="WO:8006582" u="1"/>
        <s v="WO:8007050" u="1"/>
        <s v="WO:8001665" u="1"/>
        <s v="WO:8006917" u="1"/>
        <s v="WO:8002665" u="1"/>
        <s v="WO:8006479" u="1"/>
        <s v="WO:8007479" u="1"/>
        <s v="HEATHER HELGEN" u="1"/>
        <s v="WO:8006665" u="1"/>
        <s v="WO:8006133" u="1"/>
        <s v="WO:8007665" u="1"/>
        <s v="WO:8006851" u="1"/>
        <s v="WO:8007851" u="1"/>
        <s v="WO:8006216" u="1"/>
        <s v="WO:8006496" u="1"/>
        <s v="WO:8006402" u="1"/>
        <s v="WO:8007496" u="1"/>
        <s v="WO:8006682" u="1"/>
        <s v="WO:8007150" u="1"/>
        <s v="WO:9021495" u="1"/>
        <s v="WO:8006047" u="1"/>
        <s v="ALAN LAROCHE" u="1"/>
        <s v="WO:9023401" u="1"/>
        <s v="WO:8007047" u="1"/>
        <s v="WO:8006951" u="1"/>
        <s v="CELINE ZIMMERMAN-BOTEL" u="1"/>
        <s v="CHRIS THOMAS" u="1"/>
        <s v="WO:8002316" u="1"/>
        <s v="ROB MAEZ" u="1"/>
        <s v="WO:8003316" u="1"/>
        <s v="WO:8004848" u="1"/>
        <s v="WO:9024578" u="1"/>
        <s v="WO:8005316" u="1"/>
        <s v="WO:8006848" u="1"/>
        <s v="WO:8006316" u="1"/>
        <s v="WO:8007316" u="1"/>
        <s v="WO:8005596" u="1"/>
        <s v="WO:8005064" u="1"/>
        <s v="WO:8006596" u="1"/>
        <s v="WO:9026232" u="1"/>
        <s v="WO:8006064" u="1"/>
        <s v="WO:8007596" u="1"/>
        <s v="WILL POKORNY" u="1"/>
        <s v="DALE SILHA" u="1"/>
        <s v="WO:8007064" u="1"/>
        <s v="WO:8004250" u="1"/>
        <s v="WO:8006782" u="1"/>
        <s v="WO:8007250" u="1"/>
        <s v="WO:9021315" u="1"/>
        <s v="WO:8004147" u="1"/>
        <s v="WO:8006679" u="1"/>
        <s v="WO:8007679" u="1"/>
        <s v="WO:8007147" u="1"/>
        <s v="WO:8004333" u="1"/>
        <s v="WO:8005865" u="1"/>
        <s v="WO:8006865" u="1"/>
        <s v="JOSEPH MORONI" u="1"/>
        <s v="WO:8007865" u="1"/>
        <s v="WO:8007333" u="1"/>
        <s v="WO:8006081" u="1"/>
        <s v="WO:8007081" u="1"/>
        <s v="WO:8004416" u="1"/>
        <s v="WO:8004164" u="1"/>
        <s v="WO:8005696" u="1"/>
        <s v="WO:8005164" u="1"/>
        <s v="WO:8006696" u="1"/>
        <s v="WO:8007602" u="1"/>
        <s v="WO:8005350" u="1"/>
        <s v="WO:8006350" u="1"/>
        <s v="WO:8007350" u="1"/>
        <s v="WO:8001965" u="1"/>
        <s v="WO:8001433" u="1"/>
        <s v="WO:8005247" u="1"/>
        <s v="WO:8006779" u="1"/>
        <s v="WO:8007779" u="1"/>
        <s v="WO:8007247" u="1"/>
        <s v="WO:8005965" u="1"/>
        <s v="WO:8006965" u="1"/>
        <s v="WO:8006433" u="1"/>
        <s v="WO:8007433" u="1"/>
        <s v="WO:8003181" u="1"/>
        <s v="WO:8007181" u="1"/>
        <s v="STEPHEN KOZLEN" u="1"/>
        <s v="WO:8006516" u="1"/>
        <s v="WO:9022432" u="1"/>
        <s v="WO:8007516" u="1"/>
        <s v="WO:8003264" u="1"/>
        <s v="WO:8007078" u="1"/>
        <s v="WO:8005796" u="1"/>
        <s v="WO:8005702" u="1"/>
        <s v="WO:8006796" u="1"/>
        <s v="WO:8006702" u="1"/>
        <s v="WO:8002450" u="1"/>
        <s v="WO:8006264" u="1"/>
        <s v="WO:8007264" u="1"/>
        <s v="WO:8004982" u="1"/>
        <s v="WO:8005982" u="1"/>
        <s v="WO:8006982" u="1"/>
        <s v="ANDREW DONALD" u="1"/>
        <s v="WO:8006450" u="1"/>
        <s v="SETH PIKE" u="1"/>
        <s v="WO:8003879" u="1"/>
        <s v="WO:8006879" u="1"/>
        <s v="WO:8007879" u="1"/>
        <s v="WO:8007347" u="1"/>
        <s v="BRANDON BEERS" u="1"/>
        <s v="LARRY MAYOTTE" u="1"/>
        <s v="WO:8005533" u="1"/>
        <s v="WO:8001281" u="1"/>
        <s v="WO:8006095" u="1"/>
        <s v="WO:8006001" u="1"/>
        <s v="WO:8007001" u="1"/>
        <s v="WO:8006281" u="1"/>
        <s v="BERNIE MOSES" u="1"/>
        <s v="SPENCER HUPPERT" u="1"/>
        <s v="ADAM MYERS" u="1"/>
        <s v="WO:8005178" u="1"/>
        <s v="WO:8006616" u="1"/>
        <s v="WO:8006178" u="1"/>
        <s v="WO:8007178" u="1"/>
        <s v="WO:8006896" u="1"/>
        <s v="WO:8007896" u="1"/>
        <s v="WO:9022280" u="1"/>
        <s v="WO:8007802" u="1"/>
        <s v="WO:8007364" u="1"/>
        <s v="WO:8005550" u="1"/>
        <s v="WO:8006550" u="1"/>
        <s v="WO:8007550" u="1"/>
        <s v="WO:8003979" u="1"/>
        <s v="WO:8003447" u="1"/>
        <s v="WO:9024615" u="1"/>
        <s v="WO:8005979" u="1"/>
        <s v="WO:8006979" u="1"/>
        <s v="WO:8006447" u="1"/>
        <s v="WO:8007447" u="1"/>
        <s v="WO:8005633" u="1"/>
        <s v="WO:8007101" u="1"/>
        <s v="WO:8005381" u="1"/>
        <s v="WO:8006381" u="1"/>
        <s v="WO:8004716" u="1"/>
        <s v="WO:8006716" u="1"/>
        <s v="BRYAN SVEC" u="1"/>
        <s v="WO:8006278" u="1"/>
        <s v="WO:8007716" u="1"/>
        <s v="WO:8006996" u="1"/>
        <s v="WO:8006902" u="1"/>
        <s v="WO:8007464" u="1"/>
        <s v="WARREN TASTAD" u="1"/>
        <s v="WO:8006650" u="1"/>
        <s v="WO:9023715" u="1"/>
        <s v="WO:8005547" u="1"/>
        <s v="WO:8002733" u="1"/>
        <s v="WO:8006547" u="1"/>
        <s v="WO:8002201" u="1"/>
        <s v="WO:8003733" u="1"/>
        <s v="WO:8007547" u="1"/>
        <s v="WO:8007015" u="1"/>
        <s v="WO:8004295" u="1"/>
        <s v="WO:8006733" u="1"/>
        <s v="WO:8002481" u="1"/>
        <s v="WO:8006295" u="1"/>
        <s v="WO:8007733" u="1"/>
        <s v="WO:8004481" u="1"/>
        <s v="GREGORY SPALDING" u="1"/>
        <s v="WO:8006481" u="1"/>
        <s v="WO:8007481" u="1"/>
        <s v="WO:9019146" u="1"/>
        <s v="WO:8003378" u="1"/>
        <s v="WO:8006816" u="1"/>
        <s v="WO:8006378" u="1"/>
        <s v="WO:8007816" u="1"/>
        <s v="WO:8002032" u="1"/>
        <s v="WO:8005564" u="1"/>
        <s v="WO:8006564" u="1"/>
        <s v="WO:8006032" u="1"/>
        <s v="WO:8007032" u="1"/>
        <s v="WO:8006750" u="1"/>
        <s v="WO:8001647" u="1"/>
        <s v="WO:8004647" u="1"/>
        <s v="WO:8005647" u="1"/>
        <s v="WO:8006647" u="1"/>
        <s v="WO:8006115" u="1"/>
        <s v="WO:8007115" u="1"/>
        <s v="WO:8004833" u="1"/>
        <s v="WO:9024031" u="1"/>
        <s v="WO:8006395" u="1"/>
        <s v="JULIANA MCLEAN" u="1"/>
        <s v="WO:9026031" u="1"/>
        <s v="WO:8004581" u="1"/>
        <s v="WO:8005581" u="1"/>
        <s v="JOSHUA ELLIOTT" u="1"/>
        <s v="WO:8003478" u="1"/>
        <s v="WO:8005916" u="1"/>
        <s v="WO:8005478" u="1"/>
        <s v="WO:8006916" u="1"/>
        <s v="WO:8007478" u="1"/>
        <s v="WO:8005132" u="1"/>
        <s v="WO:8006664" u="1"/>
        <s v="WO:8006132" u="1"/>
        <s v="WO:8007664" u="1"/>
        <s v="WO:8004850" u="1"/>
        <s v="WO:8005850" u="1"/>
        <s v="WO:8006850" u="1"/>
        <s v="JIM ROSENBAUM" u="1"/>
        <s v="WO:8006029" u="1"/>
        <s v="WO:9023915" u="1"/>
        <s v="GEORGE MELANCON" u="1"/>
        <s v="WO:8007029" u="1"/>
        <s v="WO:8001933" u="1"/>
        <s v="WO:8006215" u="1"/>
        <s v="WO:8007747" u="1"/>
        <s v="WO:8004401" u="1"/>
        <s v="WO:8005401" u="1"/>
        <s v="WO:8003681" u="1"/>
        <s v="WO:8007401" u="1"/>
        <s v="WO:8006681" u="1"/>
        <s v="WO:8007681" u="1"/>
        <s v="WO:8007046" u="1"/>
        <s v="CORY SPARLING" u="1"/>
        <s v="WO:8006764" u="1"/>
        <s v="WO:8006232" u="1"/>
        <s v="WO:8007764" u="1"/>
        <s v="WO:8007232" u="1"/>
        <s v="WO:8005950" u="1"/>
        <s v="WO:8006950" u="1"/>
        <s v="WO:8004129" u="1"/>
        <s v="WO:8005847" u="1"/>
        <s v="WO:8006847" u="1"/>
        <s v="WO:8006315" u="1"/>
        <s v="WO:8007315" u="1"/>
        <s v="WO:8003063" u="1"/>
        <s v="WO:8006595" u="1"/>
        <s v="WO:8006501" u="1"/>
        <s v="WO:8007595" u="1"/>
        <s v="AIMEE RHODEY" u="1"/>
        <s v="WO:8004781" u="1"/>
        <s v="TYLER BUSH" u="1"/>
        <s v="STEVE LARSON" u="1"/>
        <s v="MATT EARNHARDT" u="1"/>
        <s v="WO:8006678" u="1"/>
        <s v="WO:8007146" u="1"/>
        <s v="WO:8004864" u="1"/>
        <s v="WO:8005332" u="1"/>
        <s v="WO:8006864" u="1"/>
        <s v="WO:8006332" u="1"/>
        <s v="WO:8007864" u="1"/>
        <s v="KURTIS BAY" u="1"/>
        <s v="WO:8997404" u="1"/>
        <s v="MATT WEBB" u="1"/>
        <s v="WO:8006080" u="1"/>
        <s v="WO:8007080" u="1"/>
        <s v="WO:8002415" u="1"/>
        <s v="WO:8006229" u="1"/>
        <s v="WO:8007229" u="1"/>
        <s v="WO:8004947" u="1"/>
        <s v="JOHN BOWMAN" u="1"/>
        <s v="WO:8004601" u="1"/>
        <s v="WO:8007601" u="1"/>
        <s v="BRETT GREEN" u="1"/>
        <s v="WO:8006881" u="1"/>
        <s v="DENNIS SHELDON" u="1"/>
        <s v="WO:9007080" u="1"/>
        <s v="WO:8002778" u="1"/>
        <s v="WO:8004246" u="1"/>
        <s v="WO:8001432" u="1"/>
        <s v="WO:8006778" u="1"/>
        <s v="WO:8003432" u="1"/>
        <s v="WO:8007246" u="1"/>
        <s v="WO:8005964" u="1"/>
        <s v="JOE ROACH" u="1"/>
        <s v="WO:8006964" u="1"/>
        <s v="WO:8001180" u="1"/>
        <s v="WO:8006432" u="1"/>
        <s v="WO:8004180" u="1"/>
        <s v="WO:8007180" u="1"/>
        <s v="WO:8006329" u="1"/>
        <s v="WO:8005515" u="1"/>
        <s v="WO:8007515" u="1"/>
        <s v="WO:8003263" u="1"/>
        <s v="WO:8007077" u="1"/>
        <s v="WO:8005701" u="1"/>
        <s v="WO:9026963" u="1"/>
        <s v="WO:8006263" u="1"/>
        <s v="WO:8004981" u="1"/>
        <s v="WO:8006981" u="1"/>
        <s v="WO:8007981" u="1"/>
        <s v="KRIS MCKOY" u="1"/>
        <s v="WO:8003346" u="1"/>
        <s v="WO:8006878" u="1"/>
        <s v="WO:8006346" u="1"/>
        <s v="ERIC P PETERSON" u="1"/>
        <s v="WO:8007878" u="1"/>
        <s v="WO:8003532" u="1"/>
        <s v="AL MAGGART" u="1"/>
        <s v="WO:8005094" u="1"/>
        <s v="MONICA KING" u="1"/>
        <s v="ANDREW ARNOLD" u="1"/>
        <s v="WO:8006094" u="1"/>
        <s v="WO:8006000" u="1"/>
        <s v="WO:8007532" u="1"/>
        <s v="NATHAN COLLINS" u="1"/>
        <s v="WO:8007000" u="1"/>
        <s v="WO:9023159" u="1"/>
        <s v="WO:8001177" u="1"/>
        <s v="WO:8006429" u="1"/>
        <s v="WO:8001801" u="1"/>
        <s v="WO:8005177" u="1"/>
        <s v="WO:8006177" u="1"/>
        <s v="WO:8003895" u="1"/>
        <s v="WO:8007615" u="1"/>
        <s v="WO:8003363" u="1"/>
        <s v="WO:8005801" u="1"/>
        <s v="LOU BAILEY" u="1"/>
        <s v="WO:8006895" u="1"/>
        <s v="WO:8006801" u="1"/>
        <s v="WO:8006363" u="1"/>
        <s v="JAKE LANDSIEDEL" u="1"/>
        <s v="WO:8005978" u="1"/>
        <s v="WO:8006446" u="1"/>
        <s v="WO:8007446" u="1"/>
        <s v="WO:8007100" u="1"/>
        <s v="WO:8004380" u="1"/>
        <s v="WO:8005380" u="1"/>
        <s v="WO:8007380" u="1"/>
        <s v="WO:8004529" u="1"/>
        <s v="WO:8007529" u="1"/>
        <s v="WO:8006715" u="1"/>
        <s v="WO:8007277" u="1"/>
        <s v="WO:8004901" u="1"/>
        <s v="WO:8005995" u="1"/>
        <s v="WO:8005901" u="1"/>
        <s v="WO:8006995" u="1"/>
        <s v="WO:8006901" u="1"/>
        <s v="WO:8007463" u="1"/>
        <s v="TODD KOMBOL" u="1"/>
        <s v="WO:9018314" u="1"/>
        <s v="WO:9021714" u="1"/>
        <s v="WO:8005014" u="1"/>
        <s v="WO:8007546" u="1"/>
        <s v="WO:8007014" u="1"/>
        <s v="WO:8006294" u="1"/>
        <s v="WO:8006200" u="1"/>
        <s v="WO:8007732" u="1"/>
        <s v="KATHY LORELLA" u="1"/>
        <s v="WO:8002629" u="1"/>
        <s v="WO:8006480" u="1"/>
        <s v="WO:8001815" u="1"/>
        <s v="WO:8001377" u="1"/>
        <s v="SCOTT ESHER" u="1"/>
        <s v="WO:8006815" u="1"/>
        <s v="WO:8006377" u="1"/>
        <s v="CORY WILTSHIRE" u="1"/>
        <s v="WO:8007377" u="1"/>
        <s v="DARREN BRAULT" u="1"/>
        <s v="WO:8004563" u="1"/>
        <s v="WO:8005563" u="1"/>
        <s v="WO:8007031" u="1"/>
        <s v="WO:9020030" u="1"/>
        <s v="WO:8006646" u="1"/>
        <s v="RENEE SANEK" u="1"/>
        <s v="WO:8005300" u="1"/>
        <s v="WO:8006394" u="1"/>
        <s v="WO:8006300" u="1"/>
        <s v="WO:8007300" u="1"/>
        <s v="WO:8006729" u="1"/>
        <s v="WO:8003477" u="1"/>
        <s v="WO:8006915" u="1"/>
        <s v="WO:8006477" u="1"/>
        <s v="WO:9026113" u="1"/>
        <s v="WO:8006663" u="1"/>
        <s v="WO:8007663" u="1"/>
        <s v="WO:8007131" u="1"/>
        <s v="DAVE SALAZAR" u="1"/>
        <s v="WO:8006028" u="1"/>
        <s v="WO:8006214" u="1"/>
        <s v="WO:8007214" u="1"/>
        <s v="WO:8005932" u="1"/>
        <s v="MARTIN SOKULSKI" u="1"/>
        <s v="WO:8006494" u="1"/>
        <s v="WO:8006400" u="1"/>
        <s v="WO:8007400" u="1"/>
        <s v="TODD SCHAPER" u="1"/>
        <s v="WO:8005829" u="1"/>
        <s v="WO:8006829" u="1"/>
        <s v="DENNIS JACOBS" u="1"/>
        <s v="WO:9019531" u="1"/>
        <s v="WO:8006045" u="1"/>
        <s v="BRIAN ANTONSEN" u="1"/>
        <s v="WO:8007045" u="1"/>
        <s v="STEVE LEONARD" u="1"/>
        <s v="WO:8006763" u="1"/>
        <s v="WO:8007231" u="1"/>
        <s v="WO:8001314" u="1"/>
        <s v="WO:8006128" u="1"/>
        <s v="MIREYA FITZLOFF" u="1"/>
        <s v="WO:8007128" u="1"/>
        <s v="WO:8005846" u="1"/>
        <s v="WO:8006846" u="1"/>
        <s v="WO:8006314" u="1"/>
        <s v="WO:8007314" u="1"/>
        <s v="WO:8001780" u="1"/>
        <s v="WO:8002780" u="1"/>
        <s v="WO:8006594" u="1"/>
        <s v="WO:8006500" u="1"/>
        <s v="GREG WINELAND" u="1"/>
        <s v="WO:8006062" u="1"/>
        <s v="WO:8007594" u="1"/>
        <s v="WO:8007500" u="1"/>
        <s v="WO:8007062" u="1"/>
        <s v="WO:8001929" u="1"/>
        <s v="WO:8006780" u="1"/>
        <s v="WO:8007780" u="1"/>
        <s v="WO:8006929" u="1"/>
        <s v="WO:8002677" u="1"/>
        <s v="JOSE DIAZ" u="1"/>
        <s v="JEFFRY MCBETH" u="1"/>
        <s v="WO:8004145" u="1"/>
        <s v="WO:8006677" u="1"/>
        <s v="KAREN HEDGLIN" u="1"/>
        <s v="WO:8006145" u="1"/>
        <s v="WO:8003863" u="1"/>
        <s v="WO:8005863" u="1"/>
        <s v="WO:8007331" u="1"/>
        <s v="LUCAS LANGBEHN" u="1"/>
        <s v="TARA CARNEY" u="1"/>
        <s v="WO:8007228" u="1"/>
        <s v="JOEL PEREZ" u="1"/>
        <s v="WO:8002694" u="1"/>
        <s v="WO:8002162" u="1"/>
        <s v="WO:8007414" u="1"/>
        <s v="WO:8006694" u="1"/>
        <s v="WO:8007694" u="1"/>
        <s v="WO:8007162" u="1"/>
        <s v="WO:8006880" u="1"/>
        <s v="WO:8007880" u="1"/>
        <s v="WO:8002777" u="1"/>
        <s v="WO:8001963" u="1"/>
        <s v="WO:8005245" u="1"/>
        <s v="WO:8006777" u="1"/>
        <s v="WO:8007245" u="1"/>
        <s v="WO:8005963" u="1"/>
        <s v="DAVE HOWE" u="1"/>
        <s v="WO:8006431" u="1"/>
        <s v="WO:8007431" u="1"/>
        <s v="WO:9027161" u="1"/>
        <s v="TERRI RUTHRUFF" u="1"/>
        <s v="WO:9014562" u="1"/>
        <s v="WO:8007514" u="1"/>
        <s v="WO:8004700" u="1"/>
        <s v="WO:8006262" u="1"/>
        <s v="WO:8004980" u="1"/>
        <s v="JAMES HENDERSON" u="1"/>
        <s v="WO:8002159" u="1"/>
        <s v="BRAD HARDEN" u="1"/>
        <s v="WO:9019113" u="1"/>
        <s v="WO:8006159" u="1"/>
        <s v="WO:8007159" u="1"/>
        <s v="WO:8005345" u="1"/>
        <s v="WO:8006877" u="1"/>
        <s v="WO:8007877" u="1"/>
        <s v="WO:8007345" u="1"/>
        <s v="CHRIS EUDAILY" u="1"/>
        <s v="WO:8005531" u="1"/>
        <s v="WO:8006531" u="1"/>
        <s v="WO:8007531" u="1"/>
        <s v="SEAN CURRIE" u="1"/>
        <s v="WO:8005428" u="1"/>
        <s v="WO:8002614" u="1"/>
        <s v="WO:8006428" u="1"/>
        <s v="WO:8003614" u="1"/>
        <s v="REBECCA FITZSIMMONS" u="1"/>
        <s v="WO:8005176" u="1"/>
        <s v="WO:8004894" u="1"/>
        <s v="WO:8006362" u="1"/>
        <s v="WO:8007800" u="1"/>
        <s v="WO:8003259" u="1"/>
        <s v="WO:8006259" u="1"/>
        <s v="WO:8007259" u="1"/>
        <s v="WO:8005445" u="1"/>
        <s v="WO:8006977" u="1"/>
        <s v="WO:8006445" u="1"/>
        <s v="WO:8007445" u="1"/>
        <s v="WO:8005631" u="1"/>
        <s v="WO:8006193" u="1"/>
        <s v="WO:8007631" u="1"/>
        <s v="WO:8007193" u="1"/>
        <s v="SKIP WOESSNER" u="1"/>
        <s v="WO:8005528" u="1"/>
        <s v="WO:8007528" u="1"/>
        <s v="WO:8004714" u="1"/>
        <s v="WO:8004276" u="1"/>
        <s v="WO:8002994" u="1"/>
        <s v="WO:8006276" u="1"/>
        <s v="WO:8003994" u="1"/>
        <s v="WO:8007714" u="1"/>
        <s v="WO:8005994" u="1"/>
        <s v="WO:8005900" u="1"/>
        <s v="WO:8005462" u="1"/>
        <s v="WO:8006994" u="1"/>
        <s v="WO:8006900" u="1"/>
        <s v="WO:8001359" u="1"/>
        <s v="WO:8006359" u="1"/>
        <s v="WO:8004545" u="1"/>
        <s v="WO:8005545" u="1"/>
        <s v="WO:8006545" u="1"/>
        <s v="WO:9022461" u="1"/>
        <s v="WO:8006013" u="1"/>
        <s v="NEAL RIDER" u="1"/>
        <s v="BRIAN LAYMAN" u="1"/>
        <s v="WO:8008013" u="1"/>
        <s v="WO:8005731" u="1"/>
        <s v="WO:8006731" u="1"/>
        <s v="WO:8006293" u="1"/>
        <s v="WO:8005628" u="1"/>
        <s v="WO:8007814" u="1"/>
        <s v="WO:8007376" u="1"/>
        <s v="WO:8005562" u="1"/>
        <s v="WO:8006459" u="1"/>
        <s v="WO:8007459" u="1"/>
        <s v="WO:8007645" u="1"/>
        <s v="WO:8007113" u="1"/>
        <s v="WO:8005831" u="1"/>
        <s v="WO:8006831" u="1"/>
        <s v="WO:8007393" u="1"/>
        <s v="WO:8003914" u="1"/>
        <s v="JAMES MEYER" u="1"/>
        <s v="WO:8007476" u="1"/>
        <s v="WO:8007662" u="1"/>
        <s v="WO:8007130" u="1"/>
        <s v="WO:8006027" u="1"/>
        <s v="TROY LOFTUS" u="1"/>
        <s v="WO:8008027" u="1"/>
        <s v="WO:8006745" u="1"/>
        <s v="ASHLEY RUIZ" u="1"/>
        <s v="WO:8007213" u="1"/>
        <s v="WO:8004931" u="1"/>
        <s v="WO:8005931" u="1"/>
        <s v="WO:8006493" u="1"/>
        <s v="WO:8007493" u="1"/>
        <s v="WO:9023558" u="1"/>
        <s v="WO:8007828" u="1"/>
        <s v="WO:8004576" u="1"/>
        <s v="WO:8005576" u="1"/>
        <s v="WO:8006576" u="1"/>
        <s v="WO:8007576" u="1"/>
        <s v="WO:9020109" u="1"/>
        <s v="WO:8005762" u="1"/>
        <s v="WO:8006762" u="1"/>
        <s v="WO:8007230" u="1"/>
        <s v="WO:8007659" u="1"/>
        <s v="WO:8007127" u="1"/>
        <s v="AARON COX" u="1"/>
        <s v="WO:8004845" u="1"/>
        <s v="WO:8006845" u="1"/>
        <s v="JUSTIN FALLSTROM" u="1"/>
        <s v="WO:8006593" u="1"/>
        <s v="WO:8007061" u="1"/>
        <s v="WO:8006928" u="1"/>
        <s v="WO:8005144" u="1"/>
        <s v="WO:8006676" u="1"/>
        <s v="WO:8006144" u="1"/>
        <s v="WO:8007144" u="1"/>
        <s v="WO:8005862" u="1"/>
        <s v="WO:8006862" u="1"/>
        <s v="WO:8006330" u="1"/>
        <s v="WO:8003227" u="1"/>
        <s v="WO:8005227" u="1"/>
        <s v="JOE WOLF" u="1"/>
        <s v="WO:8006759" u="1"/>
        <s v="WO:8006227" u="1"/>
        <s v="WO:8005413" u="1"/>
        <s v="WO:8006945" u="1"/>
        <s v="WO:8006413" u="1"/>
        <s v="WO:8007945" u="1"/>
        <s v="WO:8002161" u="1"/>
        <s v="WO:9026861" u="1"/>
        <s v="WO:8006693" u="1"/>
        <s v="WO:8007693" u="1"/>
        <s v="WO:9023758" u="1"/>
        <s v="WO:8003058" u="1"/>
        <s v="WO:8006058" u="1"/>
        <s v="WO:8003244" u="1"/>
        <s v="JEN OLSON" u="1"/>
        <s v="WO:8002962" u="1"/>
        <s v="WO:8006244" u="1"/>
        <s v="WO:8007244" u="1"/>
        <s v="WO:8006962" u="1"/>
        <s v="WO:8006430" u="1"/>
        <s v="WO:8006859" u="1"/>
        <s v="WO:8006327" u="1"/>
        <s v="WO:8007859" u="1"/>
        <s v="WO:8005075" u="1"/>
        <s v="JERRY DAY" u="1"/>
        <s v="WO:8007513" u="1"/>
        <s v="WO:8007075" u="1"/>
        <s v="WO:8005793" u="1"/>
        <s v="WO:8006793" u="1"/>
        <s v="JEFF MARSH" u="1"/>
        <s v="MIKE EDWARDS" u="1"/>
        <s v="RYAN DICKERSON" u="1"/>
        <s v="JANET JANES" u="1"/>
        <s v="WO:9022074" u="1"/>
        <s v="WO:8007158" u="1"/>
        <s v="WO:9018830" u="1"/>
        <s v="WO:8006876" u="1"/>
        <s v="WO:9016009" u="1"/>
        <s v="WO:8005092" u="1"/>
        <s v="WO:8006530" u="1"/>
        <s v="WO:8006092" u="1"/>
        <s v="WO:8007530" u="1"/>
        <s v="CRAIG HAWKINS" u="1"/>
        <s v="WO:8005959" u="1"/>
        <s v="WO:8006427" u="1"/>
        <s v="WO:8007427" u="1"/>
        <s v="WO:8005175" u="1"/>
        <s v="WO:8003893" u="1"/>
        <s v="WO:8005893" u="1"/>
        <s v="WO:8006893" u="1"/>
        <s v="WO:8006361" u="1"/>
        <s v="WO:8007893" u="1"/>
        <s v="WO:8007361" u="1"/>
        <s v="SHANE LARSEN" u="1"/>
        <s v="WO:9021426" u="1"/>
        <s v="SCOTT FLETCHER" u="1"/>
        <s v="RICHARD ZABINSKI" u="1"/>
        <s v="WO:8006258" u="1"/>
        <s v="WO:8007258" u="1"/>
        <s v="WO:8004976" u="1"/>
        <s v="WO:9010389" u="1"/>
        <s v="WO:8005976" u="1"/>
        <s v="RONALD BLACKWELL" u="1"/>
        <s v="WO:8005630" u="1"/>
        <s v="WO:8006630" u="1"/>
        <s v="WO:8006192" u="1"/>
        <s v="WO:8004089" u="1"/>
        <s v="CHARLIE FAJARILLO" u="1"/>
        <s v="WO:8002713" u="1"/>
        <s v="WO:8006527" u="1"/>
        <s v="WO:8007089" u="1"/>
        <s v="WO:8005713" u="1"/>
        <s v="WO:8006713" u="1"/>
        <s v="WO:8007713" u="1"/>
        <s v="WO:8003461" u="1"/>
        <s v="WO:8007275" u="1"/>
        <s v="WO:8005993" u="1"/>
        <s v="WO:8006461" u="1"/>
        <s v="WO:8007461" u="1"/>
        <s v="DAVID BUDD" u="1"/>
        <s v="WO:8003358" u="1"/>
        <s v="SCOTT JUTTE" u="1"/>
        <s v="WO:8004358" u="1"/>
        <s v="WO:8007358" u="1"/>
        <s v="WO:8005544" u="1"/>
        <s v="ED LANDIN" u="1"/>
        <s v="WO:8003730" u="1"/>
        <s v="JAYMES MCMULLIN" u="1"/>
        <s v="WO:8002813" u="1"/>
        <s v="WO:8002375" u="1"/>
        <s v="WO:8007189" u="1"/>
        <s v="WO:8006813" u="1"/>
        <s v="WO:8007375" u="1"/>
        <s v="WO:8005561" u="1"/>
        <s v="WO:8007561" u="1"/>
        <s v="JAMES POSTMA" u="1"/>
        <s v="WO:8004458" u="1"/>
        <s v="ROD SMITH" u="1"/>
        <s v="WO:8006458" u="1"/>
        <s v="WO:8002112" u="1"/>
        <s v="WO:8007458" u="1"/>
        <s v="WO:8005112" u="1"/>
        <s v="WO:8006644" u="1"/>
        <s v="WO:8007644" u="1"/>
        <s v="WO:8007112" u="1"/>
        <s v="WO:8006830" u="1"/>
        <s v="WO:8002009" u="1"/>
        <s v="WO:8007830" u="1"/>
        <s v="WO:8007392" u="1"/>
        <s v="MIKE GRIZZLE" u="1"/>
        <s v="WO:8006009" u="1"/>
        <s v="MIKE SKILLICORN" u="1"/>
        <s v="WO:8003289" u="1"/>
        <s v="JOHN HERNANDEZ" u="1"/>
        <s v="WO:8007009" u="1"/>
        <s v="WO:8006289" u="1"/>
        <s v="WO:8007289" u="1"/>
        <s v="WO:8006913" u="1"/>
        <s v="EASA NOUROUZEE" u="1"/>
        <s v="WO:8007475" u="1"/>
        <s v="WO:8005661" u="1"/>
        <s v="WO:8006661" u="1"/>
        <s v="WO:8007661" u="1"/>
        <s v="SCOTT AEBI" u="1"/>
        <s v="VINCE PISANE" u="1"/>
        <s v="WO:8001744" u="1"/>
        <s v="WO:8005558" u="1"/>
        <s v="WO:8006558" u="1"/>
        <s v="WO:8006026" u="1"/>
        <s v="WO:8007744" u="1"/>
        <s v="WO:8007212" u="1"/>
        <s v="WO:8007492" u="1"/>
        <s v="WO:8006109" u="1"/>
        <s v="WO:8007109" u="1"/>
      </sharedItems>
    </cacheField>
    <cacheField name="ProjectManagers" numFmtId="0">
      <sharedItems containsNonDate="0" containsString="0" containsBlank="1"/>
    </cacheField>
    <cacheField name="ContractDesc" numFmtId="0">
      <sharedItems containsNonDate="0" containsString="0" containsBlank="1"/>
    </cacheField>
    <cacheField name="CustomerName" numFmtId="0">
      <sharedItems containsNonDate="0" containsBlank="1" count="1502">
        <m/>
        <s v="The Harbor Club" u="1"/>
        <s v="Chimacum School District " u="1"/>
        <s v="Ash Grove Cement" u="1"/>
        <s v="Fort Stockton ISD        " u="1"/>
        <s v="BMR - Westlake LLC" u="1"/>
        <s v="Staley Technologies      " u="1"/>
        <s v="Rod Smith                " u="1"/>
        <s v="Siemens Building Technologies Inc" u="1"/>
        <s v="Big Lots" u="1"/>
        <s v="Colorado Energy Office" u="1"/>
        <s v="ProHealth                " u="1"/>
        <s v="Eastside Catholic High Sc" u="1"/>
        <s v="Catalysis                " u="1"/>
        <s v="Mt Baker Holdings        " u="1"/>
        <s v="Aramark Uniform Services," u="1"/>
        <s v="Enso Condominiums" u="1"/>
        <s v="Boy Scouts of America    " u="1"/>
        <s v="Facility Solutions Group " u="1"/>
        <s v="Aurora Church of the Naza" u="1"/>
        <s v="Ron Glauser              " u="1"/>
        <s v="Ron Johnson              " u="1"/>
        <s v="Expedia.com" u="1"/>
        <s v="Macy's - Northtown Mall  " u="1"/>
        <s v="MultAlloy" u="1"/>
        <s v="Colstrip Public Schools  " u="1"/>
        <s v="Jones Lang LaSalle " u="1"/>
        <s v="Lafarge" u="1"/>
        <s v="Gerald Terry             " u="1"/>
        <s v="Silverdale Lutheran Church" u="1"/>
        <s v="&amp;Kloth" u="1"/>
        <s v="Experience Music Project" u="1"/>
        <s v="The Hatch Group" u="1"/>
        <s v="Harold Poll Building" u="1"/>
        <s v="Apple                    " u="1"/>
        <s v="Hines Global REIT        " u="1"/>
        <s v="Jackson Contractors Group" u="1"/>
        <s v="SKB Companies, LLC" u="1"/>
        <s v="WRP Management" u="1"/>
        <s v="The Station at Othello Park" u="1"/>
        <s v="Sinclair Television dba K" u="1"/>
        <s v="Griffith Rubber" u="1"/>
        <s v="Bondgy Inc               " u="1"/>
        <s v="Tillamook County " u="1"/>
        <s v="Recovery Cafe            " u="1"/>
        <s v="University of Wisconsin P" u="1"/>
        <s v="Ross Dress for Less, Inc." u="1"/>
        <s v="Weyerhaeuser Advanced Expense Deposit " u="1"/>
        <s v="Museum Quality Framing" u="1"/>
        <s v="Hudson Pacific Properties" u="1"/>
        <s v="Eastside Corridor Constru" u="1"/>
        <s v="Fresenius Medical Care Spokane" u="1"/>
        <s v="VADATA Inc" u="1"/>
        <s v="HCSA Laundry             " u="1"/>
        <s v="VADATA" u="1"/>
        <s v="Pietromonaco I LLC" u="1"/>
        <s v="King County Solid Waste  " u="1"/>
        <s v="Tarrant County College District" u="1"/>
        <s v="Dewalt Construction &amp; Dev" u="1"/>
        <s v="Mead Investments" u="1"/>
        <s v="Lake Geneva Joint 1 Schoo" u="1"/>
        <s v="RPAI US Management LLC" u="1"/>
        <s v="Color Graphics Cenveo" u="1"/>
        <s v="City of Bellevue Parks De" u="1"/>
        <s v="Level (3) Communications " u="1"/>
        <s v="Champion Combustion Servi" u="1"/>
        <s v="Target Store" u="1"/>
        <s v="Susan Howe               " u="1"/>
        <s v="UPS Tukwila Freight" u="1"/>
        <s v="Pegasus Pho Restaurant" u="1"/>
        <s v="City of Corpus Christi   " u="1"/>
        <s v="Pinnacle Living" u="1"/>
        <s v="King County International" u="1"/>
        <s v="Presidio Networked Soluti" u="1"/>
        <s v="Traverso Properties LLC" u="1"/>
        <s v="Bob &amp; Virgie Hayden      " u="1"/>
        <s v="Costco Wholesale         " u="1"/>
        <s v="LCI Holdings c/o Kate Spade LLC" u="1"/>
        <s v="Kolton Olsen" u="1"/>
        <s v="Kootenai Medical Center" u="1"/>
        <s v="Maple School District    " u="1"/>
        <s v="Stricklund Trust         " u="1"/>
        <s v="Washington Green Schools " u="1"/>
        <s v="St Theresa's Parish      " u="1"/>
        <s v="Dept of Ecology Bldg Svcs" u="1"/>
        <s v="Sound Mental Health      " u="1"/>
        <s v="Integrate Columbia 1 LLC" u="1"/>
        <s v="Fairfax Everett          " u="1"/>
        <s v="Alder Biopharmaceutical  " u="1"/>
        <s v="Salem R80 School District" u="1"/>
        <s v="Ammex                    " u="1"/>
        <s v="Chelan County            " u="1"/>
        <s v="200 Market Associates" u="1"/>
        <s v="Food Lifeline            " u="1"/>
        <s v="Tukwila Pool Metropolitan Park District" u="1"/>
        <s v="USDA ARS WBSC" u="1"/>
        <s v="Carmike Cinemas Inc" u="1"/>
        <s v="Escala - Enzo Sainago" u="1"/>
        <s v="Microsoft Corporation" u="1"/>
        <s v="First &amp; Goal             " u="1"/>
        <s v="Truce Spa @ The Westin" u="1"/>
        <s v="Lafarge North America Wes" u="1"/>
        <s v="Twin City Foods Inc      " u="1"/>
        <s v="Alside" u="1"/>
        <s v="GE - Redmond East Bldg 17" u="1"/>
        <s v="Eastern Washington University" u="1"/>
        <s v="USPD - Narrows View Intermediate School" u="1"/>
        <s v="Hammer &amp; Hand" u="1"/>
        <s v="Foushee &amp; Associates" u="1"/>
        <s v="Sunbelt Controls         " u="1"/>
        <s v="JHS Properties" u="1"/>
        <s v="CSHV Kent North LLC      " u="1"/>
        <s v="FMKTR BTC, LLC.          " u="1"/>
        <s v="CH2M Hill                " u="1"/>
        <s v="Federal Way Public School" u="1"/>
        <s v="San Juan Industries, Inc " u="1"/>
        <s v="JLL - Brewery Block 2" u="1"/>
        <s v="Good Sam MOB Investors, LLC" u="1"/>
        <s v="Fortis Construction" u="1"/>
        <s v="Portland Public Schools" u="1"/>
        <s v="Total Systems Services In" u="1"/>
        <s v="Gilbane Company" u="1"/>
        <s v="Glendale Community Colleg" u="1"/>
        <s v="Walters &amp; Wolf Curtain Wa" u="1"/>
        <s v="Coolidge School District" u="1"/>
        <s v="Marshall Public Schools" u="1"/>
        <s v="Bentall Kennedy          " u="1"/>
        <s v="GM jordan, J Haney &amp; Game Star Inc" u="1"/>
        <s v="Brad Hubbard" u="1"/>
        <s v="Brink &amp; Sadler           " u="1"/>
        <s v="Absco Solutions" u="1"/>
        <s v="Otis Elevator Company" u="1"/>
        <s v="Balfour Beatty Constructi" u="1"/>
        <s v="Monroe Public Schools" u="1"/>
        <s v="4550 Macadam Partners LLC" u="1"/>
        <s v="Providence Infusion &amp; Pha" u="1"/>
        <s v="American Strategic Group " u="1"/>
        <s v="Shell Oil Products US" u="1"/>
        <s v="CBRE/CDK" u="1"/>
        <s v="Spokane Transit Authority" u="1"/>
        <s v="Dawson ISD               " u="1"/>
        <s v="MELVIN MARK PROPERTIES   " u="1"/>
        <s v="Riverstone Residential   " u="1"/>
        <s v="Adams County             " u="1"/>
        <s v="St Joseph Medical Center " u="1"/>
        <s v="City Sprint Delivery" u="1"/>
        <s v="Hubbard Broadcasting" u="1"/>
        <s v="Cypress Semiconductor" u="1"/>
        <s v="OLT - Irma Yen" u="1"/>
        <s v="Norcliffe Estate         " u="1"/>
        <s v="Costco Wholesale Pod     " u="1"/>
        <s v="HMST Enterprises         " u="1"/>
        <s v="Campus Design &amp; Construction" u="1"/>
        <s v="Fairwinds - Northpointe  " u="1"/>
        <s v="The Waterfront Condos" u="1"/>
        <s v="JE Dunn Construction     " u="1"/>
        <s v="Davis Schueller Inc" u="1"/>
        <s v="Auto Warehousing" u="1"/>
        <s v="Level (3) Communications" u="1"/>
        <s v="King County Jet Center" u="1"/>
        <s v="NBBJ                     " u="1"/>
        <s v="Goodrich Corp" u="1"/>
        <s v="CP IV, SEA 28 Ruby       " u="1"/>
        <s v="Wellens Farwell Construction" u="1"/>
        <s v="Westgate Condominiums" u="1"/>
        <s v="Airgas, Nor-Pac, Inc.    " u="1"/>
        <s v="Center for Infectious Disease Research" u="1"/>
        <s v="Bastyr University        " u="1"/>
        <s v="Manhattan School District" u="1"/>
        <s v="City of Seattle Parks &amp; Recreation" u="1"/>
        <s v="Uinta County School Distr" u="1"/>
        <s v="Washington Real Estate Holdings, LLC" u="1"/>
        <s v="1000 Inc.                " u="1"/>
        <s v="Grayhawk Construction    " u="1"/>
        <s v="Swinerton Builders       " u="1"/>
        <s v="Avista" u="1"/>
        <s v="Laurel Group             " u="1"/>
        <s v="North Thurston Public Sch" u="1"/>
        <s v="Overlake Golf &amp; Country Club" u="1"/>
        <s v="Kanto Corp" u="1"/>
        <s v="Vibra Specialty Hospital " u="1"/>
        <s v="Skanska USA Bldg OR Divis" u="1"/>
        <s v="Seattle University       " u="1"/>
        <s v="Apple Inc" u="1"/>
        <s v="Waco Scaffold &amp; Equipment" u="1"/>
        <s v="PCL Construction Services" u="1"/>
        <s v="Stevensville Public Schoo" u="1"/>
        <s v="WCP Solutions" u="1"/>
        <s v="Microsoft CY1 Data" u="1"/>
        <s v="Monte Hester             " u="1"/>
        <s v="Peach &amp; Johnston LLC     " u="1"/>
        <s v="The Eliot Tower #2150" u="1"/>
        <s v="Open Square" u="1"/>
        <s v="Sapa Profiles            " u="1"/>
        <s v="Nordstrom                " u="1"/>
        <s v="Surescripts Enterprise Services" u="1"/>
        <s v="Essex Property Trust, Inc" u="1"/>
        <s v="Saratoga Commercial Manag" u="1"/>
        <s v="Monte Villa Farms LLC" u="1"/>
        <s v="Spokane County           " u="1"/>
        <s v="East Valley School District" u="1"/>
        <s v="SBCTC" u="1"/>
        <s v="Fasteners                " u="1"/>
        <s v="Lovett Services" u="1"/>
        <s v="Bay Vista Building       " u="1"/>
        <s v="General Air Conditioning " u="1"/>
        <s v="12W RPO, LLC             " u="1"/>
        <s v="Lakewood School District #306" u="1"/>
        <s v="Dick Anderson Constructio" u="1"/>
        <s v="Nelson Electric          " u="1"/>
        <s v="BPT Amy Sun              " u="1"/>
        <s v="Gina's Design Corner     " u="1"/>
        <s v="CALPORTLAND" u="1"/>
        <s v="Branded Solution Properti" u="1"/>
        <s v="Dell Quincy Data Center" u="1"/>
        <s v="CHI AP Support Center    " u="1"/>
        <s v="HIGH WEST PARTNERSHIP    " u="1"/>
        <s v="Mukilteo School District " u="1"/>
        <s v="Skyline @ First Hill" u="1"/>
        <s v="Santa Clara County       " u="1"/>
        <s v="Macy's Accounts Payables" u="1"/>
        <s v="Schuchart Corporation    " u="1"/>
        <s v="Pueblo City Schools      " u="1"/>
        <s v="RALCORP FROZEN BAKERY PRO" u="1"/>
        <s v="Stulz ATS                " u="1"/>
        <s v="Peace Health Medical Group" u="1"/>
        <s v="Waste Management National Services" u="1"/>
        <s v="FORMA Construction       " u="1"/>
        <s v="Prem Group               " u="1"/>
        <s v="Premier Center Management" u="1"/>
        <s v="Alexander's Mobility Serv" u="1"/>
        <s v="Lakha Prop - Lakewood TC, LLC" u="1"/>
        <s v="Ferguson Construction" u="1"/>
        <s v="Red Hawk Fire &amp; Security " u="1"/>
        <s v="Madison Metropolitan Scho" u="1"/>
        <s v="Spokane Valley Partners  " u="1"/>
        <s v="General Growth Properties" u="1"/>
        <s v="Terry Owens LLC          " u="1"/>
        <s v="State of Washington - Gen" u="1"/>
        <s v="Haskell Memorial Hospital" u="1"/>
        <s v="Holland America Cruise Liner" u="1"/>
        <s v="Associated Earth Sciences" u="1"/>
        <s v="Suncadia HOA LMCA        " u="1"/>
        <s v="AutoZone Parts, Inc" u="1"/>
        <s v="Jackson Dean Construction" u="1"/>
        <s v="KCIT Radio Communication " u="1"/>
        <s v="Peekay Properties        " u="1"/>
        <s v="PCI" u="1"/>
        <s v="Slalom LLC               " u="1"/>
        <s v="Quanex - Mikron Industries" u="1"/>
        <s v="Washington Education Association" u="1"/>
        <s v="Neenan Company LLLP      " u="1"/>
        <s v="Eastlake Investors" u="1"/>
        <s v="Walthew Building LLC" u="1"/>
        <s v="Koehler &amp; Company" u="1"/>
        <s v="Image Mill               " u="1"/>
        <s v="Polson School District   " u="1"/>
        <s v="Hope Moore" u="1"/>
        <s v="McMenamins Pub" u="1"/>
        <s v="JTM Construction         " u="1"/>
        <s v="Roger Hunt               " u="1"/>
        <s v="Cascade Rubber Products, " u="1"/>
        <s v="Boeing                   " u="1"/>
        <s v="Boeing Company           " u="1"/>
        <s v="Glacier Northwest        " u="1"/>
        <s v="William A Duffy III      " u="1"/>
        <s v="Mutual Of Enumclaw Main  " u="1"/>
        <s v="Liberty Mutual" u="1"/>
        <s v="Acumentra Health" u="1"/>
        <s v="U of W Laundry           " u="1"/>
        <s v="Island Hospital" u="1"/>
        <s v="NFC Hawthorne, LLC       " u="1"/>
        <s v="Madison Apartments" u="1"/>
        <s v="JPC Architechts          " u="1"/>
        <s v="SHELL OIL                " u="1"/>
        <s v="Fed Ex Ground Package" u="1"/>
        <s v="Jasper Apartments" u="1"/>
        <s v="Tuner Construction" u="1"/>
        <s v="Pegasus Thoroughbreds    " u="1"/>
        <s v="Puget Sound Pipe - Kent" u="1"/>
        <s v="Madison Marquette Retail Services" u="1"/>
        <s v="Liberty Mutual Insurance" u="1"/>
        <s v="Etiquette                " u="1"/>
        <s v="Jorgensen Forge          " u="1"/>
        <s v="Washougal School District" u="1"/>
        <s v="Hoffman Construction" u="1"/>
        <s v="Stanley Company          " u="1"/>
        <s v="Campbell R-II School Dist" u="1"/>
        <s v="Good Sam MOB Investors, L" u="1"/>
        <s v="Green Dot Public Schools Washington State" u="1"/>
        <s v="Cole &amp; Weber" u="1"/>
        <s v="Dr Jansen Richins        " u="1"/>
        <s v="CHSPSC FAC               " u="1"/>
        <s v="Allstate" u="1"/>
        <s v="Colin Construction" u="1"/>
        <s v="MRJ Constructors         " u="1"/>
        <s v="Chihuly Inc" u="1"/>
        <s v="St Cloud District        " u="1"/>
        <s v="Fluke Corporation        " u="1"/>
        <s v="Arden Realty Inc Redmond Hilltop 2005A" u="1"/>
        <s v="Kiemle &amp; Hagood Company" u="1"/>
        <s v="Equinix                  " u="1"/>
        <s v="Costco - Data Center" u="1"/>
        <s v="LEG PTRS I Tukwila LLC / Steelwave" u="1"/>
        <s v="Doug Moore" u="1"/>
        <s v="UDR, Inc                 " u="1"/>
        <s v="Shell Oil Products" u="1"/>
        <s v="USB2" u="1"/>
        <s v="Siemens Industry Inc" u="1"/>
        <s v="PhenoPath Laboratories" u="1"/>
        <s v="Sandwich SC LLC          " u="1"/>
        <s v="Tierpoint Seattle Holding" u="1"/>
        <s v="Gilman Square" u="1"/>
        <s v="Swedish Medical Center   " u="1"/>
        <s v="King Machine LLC         " u="1"/>
        <s v="John Madden Co" u="1"/>
        <s v="Reimers &amp; Jolivette Inc  " u="1"/>
        <s v="Alstom Grid Inc" u="1"/>
        <s v="US Federal Courthouse" u="1"/>
        <s v="AT&amp;T CRE                 " u="1"/>
        <s v="Dave &amp; Sandy Sabey       " u="1"/>
        <s v="Vancouver Clinic " u="1"/>
        <s v="Alana Jewelry" u="1"/>
        <s v="Callison Architecture Inc" u="1"/>
        <s v="The Service Station" u="1"/>
        <s v="MS3, LLC" u="1"/>
        <s v="River Ridge School District" u="1"/>
        <s v="E3 Washington            " u="1"/>
        <s v="For Sill Apache Casino   " u="1"/>
        <s v="Whole Foods              " u="1"/>
        <s v="Montrose County School Di" u="1"/>
        <s v="Arden Realty Inc Redmond Hilltop 2005B" u="1"/>
        <s v="Lydig Construction" u="1"/>
        <s v="New Mexico Military Insti" u="1"/>
        <s v="901 5th Ave Kennedy Wilson Properties" u="1"/>
        <s v="Lease Crutcher Lewis     " u="1"/>
        <s v="Ted Wight" u="1"/>
        <s v="Clark County             " u="1"/>
        <s v="Oshkosh Area School Distr" u="1"/>
        <s v="St Mark Senior Living" u="1"/>
        <s v="HOLIDAY INN              " u="1"/>
        <s v="Adventist Health Northwes" u="1"/>
        <s v="Pine Island/Takisaki JV  " u="1"/>
        <s v="USTA Pacific Northwest   " u="1"/>
        <s v="Subaru" u="1"/>
        <s v="Barney Ebsworth" u="1"/>
        <s v="Silent Aire Manufacturing, Inc" u="1"/>
        <s v="Warsaw R-IX School District" u="1"/>
        <s v="Criteria Properties" u="1"/>
        <s v="Beta Theta Pi" u="1"/>
        <s v="Bethlehem Lutheran Church" u="1"/>
        <s v="Goldfinch Bros Inc       " u="1"/>
        <s v="King County Roads" u="1"/>
        <s v="SCHUCHART CORP           " u="1"/>
        <s v="Shanghai Gardens         " u="1"/>
        <s v="BlackRock                " u="1"/>
        <s v="Fentress Architects      " u="1"/>
        <s v="Laser Processing Technolo" u="1"/>
        <s v="Newport Corporate Center " u="1"/>
        <s v="Sellen Construction      " u="1"/>
        <s v="City of Spokane Fleet Svc" u="1"/>
        <s v="Emeritus of West Seattle" u="1"/>
        <s v="Athena Weston School District" u="1"/>
        <s v="SIR Seattle LLC" u="1"/>
        <s v="Embassy Suites Hotel" u="1"/>
        <s v="King County Dept. of Fina" u="1"/>
        <s v="Seattle City Light" u="1"/>
        <s v="FRESHVUE, LLC" u="1"/>
        <s v="Emerald Heights Retiremen" u="1"/>
        <s v="Michaelidis              " u="1"/>
        <s v="Capital One              " u="1"/>
        <s v="St Madeleine Sophie Church" u="1"/>
        <s v="Arbor Place Residential T" u="1"/>
        <s v="TW Clark" u="1"/>
        <s v="St Michelle Wine Estates" u="1"/>
        <s v="Depaul Treatment Center - Adult Program" u="1"/>
        <s v="Northwest Container Servi" u="1"/>
        <s v="Alcoa" u="1"/>
        <s v="Traveler Montlake" u="1"/>
        <s v="Stephen C Grey           " u="1"/>
        <s v="West Sound Orthopaedics  " u="1"/>
        <s v="Brewster School District " u="1"/>
        <s v="Walker Construction      " u="1"/>
        <s v="Metropolitan Contracting" u="1"/>
        <s v="Deering Management Group " u="1"/>
        <s v="Capital One" u="1"/>
        <s v="LINX                     " u="1"/>
        <s v="Stanley Security Solutions" u="1"/>
        <s v="SAKE ONE" u="1"/>
        <s v="EDC Group" u="1"/>
        <s v="Peggy Baca" u="1"/>
        <s v="Commerce Waterside       " u="1"/>
        <s v="Harvard Market - HOA" u="1"/>
        <s v="Kidder Mathews - BPCC    " u="1"/>
        <s v="Sushi Kudasai            " u="1"/>
        <s v="Chaffee R-II School Distr" u="1"/>
        <s v="Montana State University " u="1"/>
        <s v="ID Experts" u="1"/>
        <s v="SwedishTallman Building" u="1"/>
        <s v="GSA Public Buildings Svc " u="1"/>
        <s v="First Insight" u="1"/>
        <s v="BGCKC                    " u="1"/>
        <s v="Tricon Building Solutions Inc" u="1"/>
        <s v="Lister Chain &amp; Forge Inc." u="1"/>
        <s v="Weyerhaeuser             " u="1"/>
        <s v="Bellevue Pacific Tower OFC" u="1"/>
        <s v="Walter Berninger" u="1"/>
        <s v="URS Corporation          " u="1"/>
        <s v="Uptown Espresso          " u="1"/>
        <s v="Advanced Eye Care        " u="1"/>
        <s v="KPFF Consulting Engineers" u="1"/>
        <s v="Eco District LLC" u="1"/>
        <s v="Arden Realty             " u="1"/>
        <s v="Hensel Phelps - Virginia " u="1"/>
        <s v="Gordon Biersch" u="1"/>
        <s v="Los Angeles Unified Schoo" u="1"/>
        <s v="City of Wenatchee        " u="1"/>
        <s v="City of Woodville        " u="1"/>
        <s v="Wayzata School District" u="1"/>
        <s v="Spokane Public Facilites " u="1"/>
        <s v="Roberson Building Company" u="1"/>
        <s v="Watermark LLC            " u="1"/>
        <s v="Umpqua Bank" u="1"/>
        <s v="Cushman &amp; Wakefield      " u="1"/>
        <s v="John Jacob " u="1"/>
        <s v="Iris Connect Inc" u="1"/>
        <s v="Phoenix Envrironmental   " u="1"/>
        <s v="Kathy Schroeder          " u="1"/>
        <s v="KTR Management Services" u="1"/>
        <s v="Equity Residential       " u="1"/>
        <s v="Kappes Miller Mgmt LLC   " u="1"/>
        <s v="YRC                      " u="1"/>
        <s v="Braseth Construction" u="1"/>
        <s v="David Barton Gym" u="1"/>
        <s v="Iron Bridge, LLC" u="1"/>
        <s v="The Boulevard            " u="1"/>
        <s v="Infosys Ltd" u="1"/>
        <s v="Physio-Control Internatio" u="1"/>
        <s v="Omnicare                 " u="1"/>
        <s v="McKinstry Essention LLC" u="1"/>
        <s v="FareStart" u="1"/>
        <s v="eBay, McKinstry as agent of" u="1"/>
        <s v="LBA Realty BPCC-R2364    " u="1"/>
        <s v="Ciais, Eric" u="1"/>
        <s v="Flying Heritage Collection" u="1"/>
        <s v="Matrix Service Inc" u="1"/>
        <s v="The Tower at Centennial  " u="1"/>
        <s v="Views at Madison         " u="1"/>
        <s v="Harland Financial Solutions" u="1"/>
        <s v="Cedarstrand Properties LLC" u="1"/>
        <s v="CBRE - Microsoft" u="1"/>
        <s v="Escala - Desiree Merulli" u="1"/>
        <s v="Builders Alliance        " u="1"/>
        <s v="The Blume Company        " u="1"/>
        <s v="The Weitz Company        " u="1"/>
        <s v="SuperValue" u="1"/>
        <s v="Gtech Corporation" u="1"/>
        <s v="Aztec Systems Inc" u="1"/>
        <s v="Kevin Reid               " u="1"/>
        <s v="Westby School District   " u="1"/>
        <s v="Charter Construction" u="1"/>
        <s v="Franciscan Health Systems" u="1"/>
        <s v="Guitar Center" u="1"/>
        <s v="Bomarc c/o CBRE" u="1"/>
        <s v="King County Facilities Mg" u="1"/>
        <s v="Burr Computer Environments Inc" u="1"/>
        <s v="Constant Power Technologies" u="1"/>
        <s v="CNC Communications" u="1"/>
        <s v="OHSU Ctr For Health &amp; Healing" u="1"/>
        <s v="Town of Fraser" u="1"/>
        <s v="Lake Fenwick Estates" u="1"/>
        <s v="Jo Anne Hacker" u="1"/>
        <s v="Iridio                   " u="1"/>
        <s v="Tiger Mountain Services" u="1"/>
        <s v="Korry Electronics        " u="1"/>
        <s v="LOCKHAVEN MARINA         " u="1"/>
        <s v="School District of Omro  " u="1"/>
        <s v="Fiserv" u="1"/>
        <s v="JPO" u="1"/>
        <s v="Seattle Amtrak/Aramark Co" u="1"/>
        <s v="Pattison General Contract" u="1"/>
        <s v="Star Rentals             " u="1"/>
        <s v="Boeing Shared Services Group - Puget Sound" u="1"/>
        <s v="II Terrazzo Carmine " u="1"/>
        <s v="Summit Public Schools Was" u="1"/>
        <s v="LEASE CRUTCHER LEWIS" u="1"/>
        <s v="Universal Avionics       " u="1"/>
        <s v="Ferrandino &amp; Sons Inc" u="1"/>
        <s v="Mowat Construction       " u="1"/>
        <s v="Convergint Technologies" u="1"/>
        <s v="Aronson Security Group   " u="1"/>
        <s v="Teach for America Inc    " u="1"/>
        <s v="Slayden Construction Group" u="1"/>
        <s v="Amano McGann Inc         " u="1"/>
        <s v="Blueacre Seafood Restaura" u="1"/>
        <s v="Meals on Wheels People" u="1"/>
        <s v="Downtown Properties, DP Management Services" u="1"/>
        <s v="WB Ent./ Games Monolith" u="1"/>
        <s v="Taylor Condominiums      " u="1"/>
        <s v="Bouten Construction      " u="1"/>
        <s v="Emerald Heights Retirement" u="1"/>
        <s v="Lane County Courthouse   " u="1"/>
        <s v="Presidio                 " u="1"/>
        <s v="RMR LLC" u="1"/>
        <s v="Bolt Modern Storage/QA" u="1"/>
        <s v="Haskell Consolidated Independent School District" u="1"/>
        <s v="Internap" u="1"/>
        <s v="7 Hills Queen Anne Apt" u="1"/>
        <s v="Spiration                " u="1"/>
        <s v="Jones Lang LaSalle" u="1"/>
        <s v="Spokane Catholic Charitie" u="1"/>
        <s v="First Capital Partners Lt" u="1"/>
        <s v="Howard S Wright " u="1"/>
        <s v="Woodinville Fire &amp; Rescue" u="1"/>
        <s v="Snohomish Health District" u="1"/>
        <s v="Snohomish School District" u="1"/>
        <s v="Bayley Construction" u="1"/>
        <s v="SmartLink LLC" u="1"/>
        <s v="CXOWARE, Inc" u="1"/>
        <s v="Ash Awad                 " u="1"/>
        <s v="Ash Grove Cement         " u="1"/>
        <s v="Paradigm Venture Group   " u="1"/>
        <s v="Naches School District   " u="1"/>
        <s v="Zach Tellez" u="1"/>
        <s v="Ingersoll Rand           " u="1"/>
        <s v="University of Portland" u="1"/>
        <s v="Zodiac Aerospace         " u="1"/>
        <s v="Rockwood Clinic          " u="1"/>
        <s v="National Native American Construction" u="1"/>
        <s v="Kensington Investments" u="1"/>
        <s v="Culp Construction Company" u="1"/>
        <s v="City of Issaquah" u="1"/>
        <s v="Lydig &amp; McKinstry LLC    " u="1"/>
        <s v="ALASKA AIRLINES" u="1"/>
        <s v="Noel House               " u="1"/>
        <s v="Microsoft PPI" u="1"/>
        <s v="Elite Construction Services" u="1"/>
        <s v="Cigna                    " u="1"/>
        <s v="FYI Properties           " u="1"/>
        <s v="Targa Real Estate        " u="1"/>
        <s v="Internap                 " u="1"/>
        <s v="CBRE                     " u="1"/>
        <s v="Chevron                  " u="1"/>
        <s v="Issaquah School District " u="1"/>
        <s v="Wandermere Golf Course   " u="1"/>
        <s v="Oakhurst Holdings LLC" u="1"/>
        <s v="Ceva Freight Management" u="1"/>
        <s v="Washington CTS           " u="1"/>
        <s v="Multicare Health System" u="1"/>
        <s v="Westwood Financial Court" u="1"/>
        <s v="Oregon Military Departmen" u="1"/>
        <s v="Somerset" u="1"/>
        <s v="Boise Paper" u="1"/>
        <s v="Cummins Northwest, Inc" u="1"/>
        <s v="Downstream" u="1"/>
        <s v="Seattle Childrens Hospita" u="1"/>
        <s v="Shell Lubricants" u="1"/>
        <s v="BT - Aaron Bloch" u="1"/>
        <s v="Statements Tile          " u="1"/>
        <s v="Midtown Chiropractic     " u="1"/>
        <s v="Fort Lewis College       " u="1"/>
        <s v="Edmonds Center for OutPatient Surgery" u="1"/>
        <s v="San Francisco Public Utilities Commision" u="1"/>
        <s v="Terry Avenue Restaurants " u="1"/>
        <s v="Andkloth" u="1"/>
        <s v="Seattle Children's Resear" u="1"/>
        <s v="CBRE - 505 1st Ave Bldg  " u="1"/>
        <s v="Milton-Freewater Unified School District" u="1"/>
        <s v="KELLY HANI               " u="1"/>
        <s v="Western Peterbilt" u="1"/>
        <s v="Consolidated Fire Protection" u="1"/>
        <s v="XO Communications" u="1"/>
        <s v="Unico Properties         " u="1"/>
        <s v="Seattle Marriott Waterfront" u="1"/>
        <s v="BP WEST COAST PRODUCTS LL" u="1"/>
        <s v="FlightSafety International" u="1"/>
        <s v="Cascade School District" u="1"/>
        <s v="Allied Fire &amp; Safety     " u="1"/>
        <s v="COFFMAN EXCAVATION       " u="1"/>
        <s v="Townsend School District " u="1"/>
        <s v="GSA PBS (8PSB)           " u="1"/>
        <s v="Brooklake Community Churc" u="1"/>
        <s v="Skanska USA Bldg WA Division" u="1"/>
        <s v="Salvation Army Renton Foo" u="1"/>
        <s v="John Hui                 " u="1"/>
        <s v="Johnson Controls         " u="1"/>
        <s v="Johnston Supply          " u="1"/>
        <s v="DP INC                   " u="1"/>
        <s v="Cuadra #32" u="1"/>
        <s v="Brookdale " u="1"/>
        <s v="Integrated" u="1"/>
        <s v="Frito Lay" u="1"/>
        <s v="Tahoma School District" u="1"/>
        <s v="Neenan Company" u="1"/>
        <s v="Johnson Project Solutions" u="1"/>
        <s v="Revo 225 Condominiums" u="1"/>
        <s v="Snyder Holdings LLC      " u="1"/>
        <s v="Turner Construction Co   " u="1"/>
        <s v="Subway at Komo Plaza" u="1"/>
        <s v="JOHN PIETROMONACO" u="1"/>
        <s v="SUNSET WEST CONDOS       " u="1"/>
        <s v="Costco Sumner Depot #285" u="1"/>
        <s v="K&amp;K Construction LLC" u="1"/>
        <s v="Legacy Health System" u="1"/>
        <s v="Apollo Holdings LLC/CBRE " u="1"/>
        <s v="Pacific Northwest Researc" u="1"/>
        <s v="Holder Construction Group" u="1"/>
        <s v="Mortenson Construction" u="1"/>
        <s v="Emergent Product Developement Seattle" u="1"/>
        <s v="University Plaza Condominiums" u="1"/>
        <s v="Metro 112 Apartments" u="1"/>
        <s v="Jefferson County Public L" u="1"/>
        <s v="Islamic School of Seattle" u="1"/>
        <s v="Western Partitions       " u="1"/>
        <s v="Town &amp; Country Markets, I" u="1"/>
        <s v="Boulder Valley School District" u="1"/>
        <s v="Darigold Rainier Ave Plant #200" u="1"/>
        <s v="C TRAN                   " u="1"/>
        <s v="West Seattle Health Club" u="1"/>
        <s v="Whitewater Unified School" u="1"/>
        <s v="OMIC USA Inc" u="1"/>
        <s v="Nu-Torque" u="1"/>
        <s v="Evergreen Park &amp; Recreati" u="1"/>
        <s v="Katharine's Place Apartme" u="1"/>
        <s v="NAC Architecture" u="1"/>
        <s v="Elders Wellness Center   " u="1"/>
        <s v="Balfour Beatty Construction" u="1"/>
        <s v="Convergint" u="1"/>
        <s v="Elevate Construction" u="1"/>
        <s v="Clearwater &amp; Star Apartme" u="1"/>
        <s v="Charbonneau Apartments   " u="1"/>
        <s v="Dyno Nobel, Inc." u="1"/>
        <s v="Morrison Child &amp; Family Services" u="1"/>
        <s v="GREF 111 S Jackson, LP" u="1"/>
        <s v="Lincoln Moving &amp; Storage " u="1"/>
        <s v="Portland State University" u="1"/>
        <s v="Enclos corp" u="1"/>
        <s v="Provail Office           " u="1"/>
        <s v="IDD AEROSPACE CO.        " u="1"/>
        <s v="Stage Left Properties" u="1"/>
        <s v="State of Wisconsin       " u="1"/>
        <s v="Providence Distribution O" u="1"/>
        <s v="Andersen Construction    " u="1"/>
        <s v="Raymond James &amp; Associate" u="1"/>
        <s v="Amway" u="1"/>
        <s v="United Marketing Inc     " u="1"/>
        <s v="Northshore School Distric" u="1"/>
        <s v="Kapstone" u="1"/>
        <s v="Oregon Transfer          " u="1"/>
        <s v="520 Pike Tower" u="1"/>
        <s v="Cascade Behavioral Health" u="1"/>
        <s v="LBA Realty BPCC-R2363" u="1"/>
        <s v="University of Iowa" u="1"/>
        <s v="Rolling Hills Memorial Ho" u="1"/>
        <s v="KOP Construction         " u="1"/>
        <s v="City of Spokane" u="1"/>
        <s v="Rally Marketing Group Inc" u="1"/>
        <s v="PUGET SOUND ENERGY       " u="1"/>
        <s v="iLink Systems Inc        " u="1"/>
        <s v="Siemens                  " u="1"/>
        <s v="Crane Electronics, Inc.  " u="1"/>
        <s v="Rip City Management" u="1"/>
        <s v="Morton School District" u="1"/>
        <s v="Nila Ruslen" u="1"/>
        <s v="American Steel           " u="1"/>
        <s v="JR Abbott Construction   " u="1"/>
        <s v="Pacific Gas &amp; Electric (P" u="1"/>
        <s v="Lori Musgrave" u="1"/>
        <s v="Florence Carlton School District" u="1"/>
        <s v="TURNER CONSTRUCTION" u="1"/>
        <s v="ARAKAWA                  " u="1"/>
        <s v="**Do Not Use** Novo Nordisk" u="1"/>
        <s v="Valley Medical Center    " u="1"/>
        <s v="Fishfader Properties" u="1"/>
        <s v="Trane - Ingersoll Rand" u="1"/>
        <s v="Lakha Properties - Kirkland LLC" u="1"/>
        <s v="Chelan County Facility Maintenance" u="1"/>
        <s v="Duwamish River Cleanup Co" u="1"/>
        <s v="Applied Industrial Technologies" u="1"/>
        <s v="Newmark Grubb Knight Frank Management" u="1"/>
        <s v="Campagne                 " u="1"/>
        <s v="Applied Products Inc." u="1"/>
        <s v="DavidBarton Gym" u="1"/>
        <s v="Benaroya Hall            " u="1"/>
        <s v="Kiro Radio               " u="1"/>
        <s v="Boeing - Gresham Plant" u="1"/>
        <s v="PCL Construction Resource" u="1"/>
        <s v="King County International Airport" u="1"/>
        <s v="US Bank Corp" u="1"/>
        <s v="VERN PLATT RENTALS       " u="1"/>
        <s v="History Colorado Center  " u="1"/>
        <s v="Sustainable Media Group L" u="1"/>
        <s v="Walgreen Co. Facilities" u="1"/>
        <s v="Eastlake Center I" u="1"/>
        <s v="Hines Interests Ltd Partn" u="1"/>
        <s v="Pomona College           " u="1"/>
        <s v="ViaWest" u="1"/>
        <s v="ATK Space Systems Inc    " u="1"/>
        <s v="GTS Interior Supply      " u="1"/>
        <s v="Elite Commercial Contracting" u="1"/>
        <s v="Compro Business Services " u="1"/>
        <s v="Tualatin Hills Park &amp; Rec" u="1"/>
        <s v="SNC Lavalin Constructors " u="1"/>
        <s v="Warrenton Hammond School District" u="1"/>
        <s v="IMS Health" u="1"/>
        <s v="Reading Partners" u="1"/>
        <s v="FAA Western Logistics Ser" u="1"/>
        <s v="Front Panel Express      " u="1"/>
        <s v="Enumclaw School District " u="1"/>
        <s v="Pendleton" u="1"/>
        <s v="World Vision Inc" u="1"/>
        <s v="WSU Capital Planning &amp; De" u="1"/>
        <s v="Cardinal Health" u="1"/>
        <s v="Logo's Equity Partners, L" u="1"/>
        <s v="Healthcare Realty Trust" u="1"/>
        <s v="PI Beta Phi - WA Alpha   " u="1"/>
        <s v="Bay Vista Building Assoc " u="1"/>
        <s v="Republic Services        " u="1"/>
        <s v="WebMD                    " u="1"/>
        <s v="TSD Tukwila School District" u="1"/>
        <s v="Brown &amp; Caldwell Consulta" u="1"/>
        <s v="Westlake Union Center" u="1"/>
        <s v="Forest View Transitional HC" u="1"/>
        <s v="BT - Carol Zhang" u="1"/>
        <s v="United States Post Office" u="1"/>
        <s v="NEC America              " u="1"/>
        <s v="Seattle Art Museum" u="1"/>
        <s v="City Investors V LLC" u="1"/>
        <s v="LEV Foundation           " u="1"/>
        <s v="University of Colorado Bo" u="1"/>
        <s v="Education Reform Now     " u="1"/>
        <s v="CBRE" u="1"/>
        <s v="Sybant Construction" u="1"/>
        <s v="Avista Corporation       " u="1"/>
        <s v="Lydig Construction       " u="1"/>
        <s v="Lake Shore Athletic Club " u="1"/>
        <s v="Thorp School District    " u="1"/>
        <s v="LEG PTRS I SEATL 2nd LLC / SteelWave" u="1"/>
        <s v="Sharp Labs of America" u="1"/>
        <s v="Performance Warehouse    " u="1"/>
        <s v="Cherokee Construction Services" u="1"/>
        <s v="Whitworth University     " u="1"/>
        <s v="Theraclone Sciences Inc." u="1"/>
        <s v="Property Concepts        " u="1"/>
        <s v="Riverdale School District" u="1"/>
        <s v="Riverside School District" u="1"/>
        <s v="Escala - Michael &amp; Faun Yin" u="1"/>
        <s v="One Pacific Tower" u="1"/>
        <s v="New Beginnings           " u="1"/>
        <s v="First Citizen Bank" u="1"/>
        <s v="STATE OF WASHINGTON      " u="1"/>
        <s v="Cushman &amp; Wakefield Inc." u="1"/>
        <s v="Weyerhaeuser" u="1"/>
        <s v="Dept of Military Affairs " u="1"/>
        <s v="BioControl Systems" u="1"/>
        <s v="Northwest PBIS Network In" u="1"/>
        <s v="Equity Office" u="1"/>
        <s v="The Queen Anne Apartment Collection" u="1"/>
        <s v="Energy Trust of Oregon   " u="1"/>
        <s v="Morrow County School District" u="1"/>
        <s v="Icicle Seafoods Inc" u="1"/>
        <s v="Eastlake Center II" u="1"/>
        <s v="BRE WA Office Owner LLC" u="1"/>
        <s v="Atlantic Street Center" u="1"/>
        <s v="Ginno Construction Co    " u="1"/>
        <s v="DS-IQ" u="1"/>
        <s v="TMT Development          " u="1"/>
        <s v="Carpita Construction" u="1"/>
        <s v="Mt Olivet Baptist Church" u="1"/>
        <s v="Bear Creek Corp Park     " u="1"/>
        <s v="City Place V, SEA 29 Ariz" u="1"/>
        <s v="5th &amp; Pine, INVESCO      " u="1"/>
        <s v="Franklin Pierce Schools" u="1"/>
        <s v="Quorum Property Management" u="1"/>
        <s v="LBA Realty BPCC-R2365    " u="1"/>
        <s v="Tulalip Resort           " u="1"/>
        <s v="Dell, Inc" u="1"/>
        <s v="Vale School District #84" u="1"/>
        <s v="Snohomish County Fire Dis" u="1"/>
        <s v="The Finerie" u="1"/>
        <s v="Escala - Ed Andrews" u="1"/>
        <s v="Vanir Construction Manage" u="1"/>
        <s v="3100 Bucklin Hill Bldg   " u="1"/>
        <s v="Evergreen Court Retirement" u="1"/>
        <s v="George Suddock           " u="1"/>
        <s v="Gerrish Hall             " u="1"/>
        <s v="David Evans &amp; Associates " u="1"/>
        <s v="Microsoft Cheyenne Transition" u="1"/>
        <s v="Howard S Wright Const Co " u="1"/>
        <s v="Lafarge                  " u="1"/>
        <s v="Lakeside Industries      " u="1"/>
        <s v="Barclay Realty Management" u="1"/>
        <s v="WBRF 3                   " u="1"/>
        <s v="LBA Realty BPCC-R2361    " u="1"/>
        <s v="Intergate Quincy LLC" u="1"/>
        <s v="Business Property Development" u="1"/>
        <s v="Brown County" u="1"/>
        <s v="Simplex Grinnell         " u="1"/>
        <s v="GC Columbia LLC " u="1"/>
        <s v="McKay Healthcare         " u="1"/>
        <s v="CaISTRS                  " u="1"/>
        <s v="Kilroy Realty LP         " u="1"/>
        <s v="Office Max               " u="1"/>
        <s v="Arden Realty Inc Redmond East 2075J" u="1"/>
        <s v="YWCA                     " u="1"/>
        <s v="Goodhue County           " u="1"/>
        <s v="Goodman Networks         " u="1"/>
        <s v="PorterCare Adventist Health System" u="1"/>
        <s v="Cintas                   " u="1"/>
        <s v="Swedish Medical Center" u="1"/>
        <s v="ThyssenKrupp Elevator    " u="1"/>
        <s v="DePaul Treatment Center" u="1"/>
        <s v="CCI Wenatchee Data Center" u="1"/>
        <s v="MICROSOFT                " u="1"/>
        <s v="Harbor Steps             " u="1"/>
        <s v="Harbor West              " u="1"/>
        <s v="Costco Wholesale Trading " u="1"/>
        <s v="The Ridge at Riverview Homeowners Association" u="1"/>
        <s v="Wells Fargo" u="1"/>
        <s v="Magdeleine LaFerte       " u="1"/>
        <s v="AFL-CIO                  " u="1"/>
        <s v="BP Oil                   " u="1"/>
        <s v="Bed Bath &amp; Beyond " u="1"/>
        <s v="Novo Nordisk" u="1"/>
        <s v="Ridgefield School Distric" u="1"/>
        <s v="US Coast Guard           " u="1"/>
        <s v="Quanex Building Products Corp" u="1"/>
        <s v="CertainTeed Gypsum" u="1"/>
        <s v="Chiles &amp; Company Inc     " u="1"/>
        <s v="Lafarge Lab" u="1"/>
        <s v="CenturyLink              " u="1"/>
        <s v="Columbia City Station Apartments/Mercy Services Corporation" u="1"/>
        <s v="UW Payables Administratio" u="1"/>
        <s v="University of Arizona" u="1"/>
        <s v="PPR Washington Square LLC" u="1"/>
        <s v="University Place School D" u="1"/>
        <s v="UPI Smith Tower LLC" u="1"/>
        <s v="2201 Enso Venture LLC" u="1"/>
        <s v="Accenture USA            " u="1"/>
        <s v="Dr  Bart Robison         " u="1"/>
        <s v="University Village" u="1"/>
        <s v="Blanton Turner           " u="1"/>
        <s v="Maneki Restaurant        " u="1"/>
        <s v="Weyerhaeuser Technology Center (WTC)" u="1"/>
        <s v="International Union of Operating Engineers" u="1"/>
        <s v="Lynette Kenoyer          " u="1"/>
        <s v="ATC                      " u="1"/>
        <s v="VFS Fire &amp; Security Services" u="1"/>
        <s v="Bastyr Natural Health    " u="1"/>
        <s v="Lakeshore Corporation    " u="1"/>
        <s v="Avista Utilities" u="1"/>
        <s v="Turner Building" u="1"/>
        <s v="John &amp; Diane Sabey" u="1"/>
        <s v="AGC Building &amp; Marina    " u="1"/>
        <s v="Parallels                " u="1"/>
        <s v="DirecTV                  " u="1"/>
        <s v="METRO                    " u="1"/>
        <s v="Frye Art Museum" u="1"/>
        <s v="GRE 509 Olive LLC " u="1"/>
        <s v="Snoqualmie Casino        " u="1"/>
        <s v="Terex Global Business Ser" u="1"/>
        <s v="Yahoo                    " u="1"/>
        <s v="Fifth &amp; Pacific Companies" u="1"/>
        <s v="State of Washington" u="1"/>
        <s v="OLT - Stella Chien" u="1"/>
        <s v="Circle Point Homes       " u="1"/>
        <s v="Steve Lloyd" u="1"/>
        <s v="John J Kirlin, Inc." u="1"/>
        <s v="WBRP 1" u="1"/>
        <s v="Sabey Construction Inc." u="1"/>
        <s v="Fontana School District  " u="1"/>
        <s v="Vandervert Construction, Inc" u="1"/>
        <s v="LHB, Inc                 " u="1"/>
        <s v="Precision Construction   " u="1"/>
        <s v="Elliott Bay Marina Inc" u="1"/>
        <s v="Proliance Highlands      " u="1"/>
        <s v="Airgas Acetylene Plant" u="1"/>
        <s v="Colorado School of Mines " u="1"/>
        <s v="Bake's Place             " u="1"/>
        <s v="Boylston Condo Associatio" u="1"/>
        <s v="Furhaven Pet Products    " u="1"/>
        <s v="M Financial Group" u="1"/>
        <s v="Swedish Edmonds          " u="1"/>
        <s v="Providence Health &amp; Servi" u="1"/>
        <s v="LabCorp                  " u="1"/>
        <s v="City of Kent Public Works" u="1"/>
        <s v="Facilities Partners Inc" u="1"/>
        <s v="Russell Construction     " u="1"/>
        <s v="Inland Northwest Health Services" u="1"/>
        <s v="Pacard Humanities Institu" u="1"/>
        <s v="Environmental Services #1" u="1"/>
        <s v="Lenovo (United States) Inc" u="1"/>
        <s v="Jubilant HollisterStier Laboratories LLC" u="1"/>
        <s v="428 Westlake LLC         " u="1"/>
        <s v="ETC                      " u="1"/>
        <s v="EVERGREEN ANALYTICAL     " u="1"/>
        <s v="BNBuilders" u="1"/>
        <s v="TCS - Annapolis MD       " u="1"/>
        <s v="Blakeslee Properties, LLC" u="1"/>
        <s v="Comcast" u="1"/>
        <s v="Hines Interest           " u="1"/>
        <s v="ServPro" u="1"/>
        <s v="Longfellow Run Condos" u="1"/>
        <s v="Sears                    " u="1"/>
        <s v="SEARS OVERLAKE           " u="1"/>
        <s v="JAR Investments" u="1"/>
        <s v="First Citizens Bank" u="1"/>
        <s v="Ross Nakanishi           " u="1"/>
        <s v="Menashe Properties       " u="1"/>
        <s v="Ikea" u="1"/>
        <s v="Panasonic Avionics Corporation" u="1"/>
        <s v="Wilson, Sonsini, Goodrich &amp; Rosati" u="1"/>
        <s v="New Breed Logistics Inc  " u="1"/>
        <s v="MODEL CUSTOMER           " u="1"/>
        <s v="Strickland Trust" u="1"/>
        <s v="Creede School District" u="1"/>
        <s v="Kitto Sushi              " u="1"/>
        <s v="Puget Sound Pipe         " u="1"/>
        <s v="Team Construction        " u="1"/>
        <s v="Unimark Construction Grou" u="1"/>
        <s v="Facebook                 " u="1"/>
        <s v="Sullivan's Steak House   " u="1"/>
        <s v="Aberdeen City Hall" u="1"/>
        <s v="Marine Systems Inc" u="1"/>
        <s v="Leone &amp; Keeble Inc       " u="1"/>
        <s v="BPM HOA Management" u="1"/>
        <s v="Thunder Mountain Middle School" u="1"/>
        <s v="Dave Hansen              " u="1"/>
        <s v="Union Pacific Railroad   " u="1"/>
        <s v="United States Postal Serv" u="1"/>
        <s v="Butte School District    " u="1"/>
        <s v="Escala - Ann Colowick" u="1"/>
        <s v="Puppet Labs" u="1"/>
        <s v="City of Auburn City Hall " u="1"/>
        <s v="SCIDPDA" u="1"/>
        <s v="Spokane School District #" u="1"/>
        <s v="Wildfire Taqueria" u="1"/>
        <s v="JE Dunn Construction" u="1"/>
        <s v="Broadmoor Golf Club      " u="1"/>
        <s v="Port of Quincy           " u="1"/>
        <s v="Colliers International" u="1"/>
        <s v="Greenfire Campus" u="1"/>
        <s v="Schuchart-Dow" u="1"/>
        <s v="Pierce County Fire Dist 5" u="1"/>
        <s v="POTLATCH CORPORATION" u="1"/>
        <s v="Seattle Public Library   " u="1"/>
        <s v="Seattle Housing Authority" u="1"/>
        <s v="CertainTeed Gypsum &amp; Ceil" u="1"/>
        <s v="Clark Fork Valley Hospita" u="1"/>
        <s v="Ochiltree General Hospita" u="1"/>
        <s v="Giddens Industries       " u="1"/>
        <s v="Big Fish Games, Inc" u="1"/>
        <s v="Montana Department of Tra" u="1"/>
        <s v="Pat Pancoast" u="1"/>
        <s v="LANDesk                  " u="1"/>
        <s v="PUGET SOUND ENERGY" u="1"/>
        <s v="Paccar - PPD" u="1"/>
        <s v="Highline Medical Center" u="1"/>
        <s v="901 Fifth Avenue         " u="1"/>
        <s v="Elevation Apartments     " u="1"/>
        <s v="IES Communications       " u="1"/>
        <s v="University of Montana    " u="1"/>
        <s v="Shorenstein Realty Svcs, LP" u="1"/>
        <s v="Orangefield ISD          " u="1"/>
        <s v="Redguard" u="1"/>
        <s v="University of Idaho" u="1"/>
        <s v="Jefferson Tower LLC      " u="1"/>
        <s v="Rafn Construction        " u="1"/>
        <s v="Gateway Construction     " u="1"/>
        <s v="Tishman Speyer" u="1"/>
        <s v="St Clair R-XIII School District" u="1"/>
        <s v="Grand Image" u="1"/>
        <s v="Arch Telecom, Inc        " u="1"/>
        <s v="DAVID ALLEN (MCKINSTRY)  " u="1"/>
        <s v="Chmura Economics &amp; Analytics LLC" u="1"/>
        <s v="Blew's Construction      " u="1"/>
        <s v="Whispering Pines Senior V" u="1"/>
        <s v="Laurel Public Schools    " u="1"/>
        <s v="Marten Transport         " u="1"/>
        <s v="Hangar Holdings" u="1"/>
        <s v="Greater Albany Public Sch" u="1"/>
        <s v="MASTER WHOLESALE         " u="1"/>
        <s v="BT - Wu Chang-Hui" u="1"/>
        <s v="Usher Properties         " u="1"/>
        <s v="Bellevue College" u="1"/>
        <s v="Republic Mortgage" u="1"/>
        <s v="Ashton Development       " u="1"/>
        <s v="Lifespan Biosciences" u="1"/>
        <s v="WOMENS UNIVERSITY CLUB   " u="1"/>
        <s v="City of Happy Valley     " u="1"/>
        <s v="Something Silver         " u="1"/>
        <s v="Telgian Corporation" u="1"/>
        <s v="Shiros Sushi" u="1"/>
        <s v="McMenamins Pub           " u="1"/>
        <s v="Columbia Center Property LLC" u="1"/>
        <s v="Altamira                 " u="1"/>
        <s v="Greenbridge Properties" u="1"/>
        <s v="Seattle Glass            " u="1"/>
        <s v="Seattle Mariners         " u="1"/>
        <s v="BioMed Realty Trust Inc" u="1"/>
        <s v="Pioneer Place Limited Partnership" u="1"/>
        <s v="Clearwater Paper Corporation" u="1"/>
        <s v="GLY Construction         " u="1"/>
        <s v="Clackamas Federal Credit Union" u="1"/>
        <s v="Ferguson                 " u="1"/>
        <s v="UWSOM Bldg D" u="1"/>
        <s v="Meredith Corporation     " u="1"/>
        <s v="Quantum Management Servic" u="1"/>
        <s v="Northwestern Energy      " u="1"/>
        <s v="Tesoro Companies Inc" u="1"/>
        <s v="Escala" u="1"/>
        <s v="Poudre School District   " u="1"/>
        <s v="Suncadia HOA LMCA" u="1"/>
        <s v="36TH &amp; GRAHAM ST ASSOC   " u="1"/>
        <s v="EverBank                 " u="1"/>
        <s v="Evergreen Health         " u="1"/>
        <s v="Trident Seafoods Pier 91 " u="1"/>
        <s v="Broadway Market Properties - Retail" u="1"/>
        <s v="10000 Meydenbauer HOA" u="1"/>
        <s v="Walt, Tieder, Hoffar, Fit" u="1"/>
        <s v="SGL Automotive Carbon Fibers" u="1"/>
        <s v="CenterCal Properties, LLC" u="1"/>
        <s v="Holst Architecture       " u="1"/>
        <s v="Montezuma Cortez School D" u="1"/>
        <s v="Buckle                   " u="1"/>
        <s v="UFCW Local 21" u="1"/>
        <s v="Francis Mahon Deaconess H" u="1"/>
        <s v="Row House Cafe" u="1"/>
        <s v="Spokane Eye Clinic - Sout" u="1"/>
        <s v="iShip                    " u="1"/>
        <s v="Gethsemane Cemetery      " u="1"/>
        <s v="Digipen                  " u="1"/>
        <s v="Digital Realty           " u="1"/>
        <s v="Riverpark Square" u="1"/>
        <s v="NRS                      " u="1"/>
        <s v="Ronald McDonald House" u="1"/>
        <s v="TEAM 2 LLC, dba H-Source" u="1"/>
        <s v="Kindercare Data Center   " u="1"/>
        <s v="Julie Drinkward          " u="1"/>
        <s v="Arrow Point HOA" u="1"/>
        <s v="Starbucks" u="1"/>
        <s v="Seattle Country Day Schoo" u="1"/>
        <s v="Sellen Construction Co" u="1"/>
        <s v="Garner Property Managemen" u="1"/>
        <s v="Uxiliary LLC" u="1"/>
        <s v="McMenamins Edgefield     " u="1"/>
        <s v="Pape Machinery           " u="1"/>
        <s v="Equinix Services Inc     " u="1"/>
        <s v="Limited Brands Invoice Processing Center" u="1"/>
        <s v="Video Only               " u="1"/>
        <s v="Schneider Electric IT MCS" u="1"/>
        <s v="Thurston County DES" u="1"/>
        <s v="City of Aspen            " u="1"/>
        <s v="City of Bethany          " u="1"/>
        <s v="City of Boulder          " u="1"/>
        <s v="City of Bozeman          " u="1"/>
        <s v="City of Brewster         " u="1"/>
        <s v="City of Golden           " u="1"/>
        <s v="City of Longmont         " u="1"/>
        <s v="City of New Hope         " u="1"/>
        <s v="City of Oxnard           " u="1"/>
        <s v="City of Redmond          " u="1"/>
        <s v="City of Seattle          " u="1"/>
        <s v="City of Tacoma           " u="1"/>
        <s v="City of Tukwila          " u="1"/>
        <s v="City View                " u="1"/>
        <s v="Greencupboards" u="1"/>
        <s v="Saxton Bradley           " u="1"/>
        <s v="UPS Oasis Supply Corp    " u="1"/>
        <s v="SCHUCHART CORPORATION" u="1"/>
        <s v="BAB Associates PC        " u="1"/>
        <s v="Nintendo of America      " u="1"/>
        <s v="Ross Burton Design Build " u="1"/>
        <s v="Lake Washington Institute of Technology" u="1"/>
        <s v="North Clackamas School Di" u="1"/>
        <s v="Sabey Datacenter Properties" u="1"/>
        <s v="ATS" u="1"/>
        <s v="El Chupacabra" u="1"/>
        <s v="Perlo Construction       " u="1"/>
        <s v="Group Health Cooperative" u="1"/>
        <s v="Happy Valley City Hall" u="1"/>
        <s v="Ed Barber                " u="1"/>
        <s v="Lockheed Martin" u="1"/>
        <s v="Meydenbauer Center       " u="1"/>
        <s v="LBA Realty BPCC-PF2SHU   " u="1"/>
        <s v="BlackRock Data Center" u="1"/>
        <s v="West &amp; Wheeler           " u="1"/>
        <s v="WEST COAST HOTEL         " u="1"/>
        <s v="Fifth Avenue Theatre     " u="1"/>
        <s v="Boeing 7-107" u="1"/>
        <s v="Southside Church of Chris" u="1"/>
        <s v="EverBank" u="1"/>
        <s v="Delores Sehrt" u="1"/>
        <s v="Shorenstein Properties   " u="1"/>
        <s v="SABEY CONSTRUCTION" u="1"/>
        <s v="Design Imports           " u="1"/>
        <s v="Kcorp Technology Svcs, Inc" u="1"/>
        <s v="AES Due Diligence" u="1"/>
        <s v="BT - Denise Barker" u="1"/>
        <s v="Nationwide Security &amp; Bld" u="1"/>
        <s v="Unispace" u="1"/>
        <s v="Cross Country            " u="1"/>
        <s v="Douglas County School Dis" u="1"/>
        <s v="LBA Realty BPCC          " u="1"/>
        <s v="Creekside Professional Center" u="1"/>
        <s v="InCity Properties        " u="1"/>
        <s v="9th &amp; Thomas Partners LLC" u="1"/>
        <s v="Arronson Security Group  " u="1"/>
        <s v="RAFN CO" u="1"/>
        <s v="Washington Air Reps      " u="1"/>
        <s v="Highline Water District  " u="1"/>
        <s v="McKinstry Co LLC" u="1"/>
        <s v="Patrick H Boden Inc      " u="1"/>
        <s v="Darigold                 " u="1"/>
        <s v="HeatCraft" u="1"/>
        <s v="TARGA Sound Terminal" u="1"/>
        <s v="RS Davis Recycling       " u="1"/>
        <s v="JSH Properties" u="1"/>
        <s v="Alderwood II c/o CBRE" u="1"/>
        <s v="Arden Realty Inc Willow Creek Corporate Center 2025F" u="1"/>
        <s v="Emerald City Commons" u="1"/>
        <s v="David Windecker          " u="1"/>
        <s v="Davita                   " u="1"/>
        <s v="NORTH STAR CASTEEL PRODUCT" u="1"/>
        <s v="Broadway Center for the P" u="1"/>
        <s v="Columbia Sportswear Company" u="1"/>
        <s v="Keystone Property Group  " u="1"/>
        <s v="AutoZone Maintenance     " u="1"/>
        <s v="Balfour Beatty Construction LLC" u="1"/>
        <s v="PARC - Belltown Condomini" u="1"/>
        <s v="Pateros School District  " u="1"/>
        <s v="ServiceMark              " u="1"/>
        <s v="Novo Nordisk Inc" u="1"/>
        <s v="Lynnwood Convention Cente" u="1"/>
        <s v="I.U.O.E.                 " u="1"/>
        <s v="Taylor Place Condominiums" u="1"/>
        <s v="Touchstone Office Bldg LL" u="1"/>
        <s v="Kiewit General Manson    " u="1"/>
        <s v="Menasha Joint School Dist" u="1"/>
        <s v="Tarleton State University" u="1"/>
        <s v="Tulalip Tribes Administra" u="1"/>
        <s v="Comfort Inn - Spokane" u="1"/>
        <s v="Shoreline Community College" u="1"/>
        <s v="Community Health Plan" u="1"/>
        <s v="Arden Realty Inc Willows Commerce Park II 2190B" u="1"/>
        <s v="Bay Vista Residential Tow" u="1"/>
        <s v="SGL Automotive Carbon Fibers  LLC" u="1"/>
        <s v="Millennium Building Services, Inc" u="1"/>
        <s v="Sabey Corporation" u="1"/>
        <s v="Overlake Terrace         " u="1"/>
        <s v="UPS Oasis Supply Corporation" u="1"/>
        <s v="GSA FINANCE DIVISION     " u="1"/>
        <s v="Salvation Army           " u="1"/>
        <s v="Husky Terminal " u="1"/>
        <s v="M.A. MORTENSON           " u="1"/>
        <s v="PACIFIC OFFICE AUTOMATION" u="1"/>
        <s v="Swedish Cancer Institute" u="1"/>
        <s v="Arden Realty Inc Redmond East 2075C" u="1"/>
        <s v="Hamilton Place           " u="1"/>
        <s v="Star Brass Works" u="1"/>
        <s v="VAMPD LLC, dba Photoboxx " u="1"/>
        <s v="Sunoco Partners Marketing Terminals LP" u="1"/>
        <s v="Health Sciences &amp; Services Authority of Spokane County" u="1"/>
        <s v="Alegis Construction, Inc " u="1"/>
        <s v="Siteline Health" u="1"/>
        <s v="Lake Washington School Di" u="1"/>
        <s v="AAA Commercial Property  " u="1"/>
        <s v="Seymour Memorial Hospital" u="1"/>
        <s v="Evergreen School District #114" u="1"/>
        <s v="Goodale &amp; Barbieri" u="1"/>
        <s v="LSG Sky Chefs Inc" u="1"/>
        <s v="Y K Kuniyuki" u="1"/>
        <s v="BMGI Real Estate" u="1"/>
        <s v="One Lincoln Tower" u="1"/>
        <s v="University Mechanical    " u="1"/>
        <s v="GB Systems               " u="1"/>
        <s v="Amazon SEA20 Day 1 North" u="1"/>
        <s v="CB Toyota Lift           " u="1"/>
        <s v="Arden Realty Inc Canyon Park Commons Bldg 3 2095" u="1"/>
        <s v="BP Pipelines and Logistic" u="1"/>
        <s v="YMCA - Spokane Central" u="1"/>
        <s v="Nicole Birgh" u="1"/>
        <s v="Norco Medical" u="1"/>
        <s v="Arden Realty Inc Redmond East 2075G" u="1"/>
        <s v="Alderwood Mall           " u="1"/>
        <s v="Bill Duffy Jr            " u="1"/>
        <s v="Bill Teplicky            " u="1"/>
        <s v="LBA Realty BPCC-R2362    " u="1"/>
        <s v="Janicki Logging &amp; Constru" u="1"/>
        <s v="The Energy Coalition     " u="1"/>
        <s v="BE Aerospace Bldg 2" u="1"/>
        <s v="REDHOOK                  " u="1"/>
        <s v="City of Tacoma" u="1"/>
        <s v="Clise Properties" u="1"/>
        <s v="Hermanson Corporation    " u="1"/>
        <s v="Alley 24                 " u="1"/>
        <s v="City of Bellingham       " u="1"/>
        <s v="Shorenstein Realty Svcs, " u="1"/>
        <s v="Class A Properties" u="1"/>
        <s v="Valley Hospital &amp; Medical Center" u="1"/>
        <s v="Littleton Public Schools " u="1"/>
        <s v="UHS of Delaware          " u="1"/>
        <s v="Urban Renaissance Property" u="1"/>
        <s v="Seattle Gastroenterology - Meridian" u="1"/>
        <s v="1111 Israel Rd LLC       " u="1"/>
        <s v="Kenyon Center" u="1"/>
        <s v="TMT Queen Anne Square Inc" u="1"/>
        <s v="ExxonMobil Lubricants &amp; Specialties" u="1"/>
        <s v="Global Calibration Services" u="1"/>
        <s v="Campus Green Condo II    " u="1"/>
        <s v="EVDC, LLC" u="1"/>
        <s v="Waste Management" u="1"/>
        <s v="Ann Nugent" u="1"/>
        <s v="Bellagio Condo           " u="1"/>
        <s v="Bellevue Club            " u="1"/>
        <s v="Bellevue Towers          " u="1"/>
        <s v="Aramark Uniform Service" u="1"/>
        <s v="SightLife" u="1"/>
        <s v="Techsolve Environmental I" u="1"/>
        <s v="LeMay Investments" u="1"/>
        <s v="Aerolac" u="1"/>
        <s v="Shell Oil - Anacortes" u="1"/>
        <s v="Devine Independent School" u="1"/>
        <s v="Intergate Columbia B" u="1"/>
        <s v="Path                     " u="1"/>
        <s v="Onvia.com" u="1"/>
        <s v="Pacific Tower QALICB LLC" u="1"/>
        <s v="Massachusetts Port Authority" u="1"/>
        <s v="Gilbane Building Co." u="1"/>
        <s v="Bob &amp; Mary Jo Aegerter " u="1"/>
        <s v="Columbia Tower Club" u="1"/>
        <s v="Minneapolis Park and Recr" u="1"/>
        <s v="2200 Condo Assoc.        " u="1"/>
        <s v="Development Services of America" u="1"/>
        <s v="Boeing Support Serivces-Svc Jobs" u="1"/>
        <s v="Lodge at Suncadia (Resort)" u="1"/>
        <s v="Langley Investment Proper" u="1"/>
        <s v="Avana 522 Apartments     " u="1"/>
        <s v="Dell                     " u="1"/>
        <s v="Filson " u="1"/>
        <s v="Iberdrola Renewables" u="1"/>
        <s v="Olympic Block" u="1"/>
        <s v="Spear Street Capital" u="1"/>
        <s v="Welltower" u="1"/>
        <s v="AT&amp;T Wireless Services" u="1"/>
        <s v="Gwen Kroon               " u="1"/>
        <s v="Arden Realty Inc Willows Commerce Park II 2190D" u="1"/>
        <s v="Healthcare Realty Service" u="1"/>
        <s v="Regis University         " u="1"/>
        <s v="MJ TAKISAKI, INC         " u="1"/>
        <s v="Stay'n Power, Inc        " u="1"/>
        <s v="Mullally Development Comp" u="1"/>
        <s v="DPR Construction" u="1"/>
        <s v="Wallingford Plaza" u="1"/>
        <s v="Graham Construction &amp; Mgm" u="1"/>
        <s v="Garden Valley School Dist" u="1"/>
        <s v="California Pizza Kitchen " u="1"/>
        <s v="Winona State University  " u="1"/>
        <s v="Ampajen Solutions LLC    " u="1"/>
        <s v="Schuyler Duryee" u="1"/>
        <s v="Apogee Holdings LLC      " u="1"/>
        <s v="Rosecreek Senior Living" u="1"/>
        <s v="DirectTV, Inc" u="1"/>
        <s v="Advantage Dirt Contractor" u="1"/>
        <s v="Washington State Bar Asso" u="1"/>
        <s v="Common Wealth Partners   " u="1"/>
        <s v="Department of Ecology    " u="1"/>
        <s v="Trilogy Cascade Club at R" u="1"/>
        <s v="BJ's Brewhouse, Inc      " u="1"/>
        <s v="Stockpot Soups           " u="1"/>
        <s v="Northwest Container Services Inc" u="1"/>
        <s v="Motion Industries" u="1"/>
        <s v="Disney Worldwide Shared S" u="1"/>
        <s v="Escala - Alston Steinmann" u="1"/>
        <s v="Hampton West Properties  " u="1"/>
        <s v="Morris Area School       " u="1"/>
        <s v="Murphy Mechanical Service" u="1"/>
        <s v="Anthony's Restaurant - Bremerton" u="1"/>
        <s v="Arden Realty Inc The Plaza at North Creek 2155A" u="1"/>
        <s v="AT&amp;T Willows 2" u="1"/>
        <s v="West Seattle Corporate Center" u="1"/>
        <s v="Snohomish County" u="1"/>
        <s v="Cascade Public Schools   " u="1"/>
        <s v="Holland Construction Mana" u="1"/>
        <s v="Harvard Park Independent " u="1"/>
        <s v="Gourmondo Catering" u="1"/>
        <s v="Six Oakes Apartments" u="1"/>
        <s v="Sparks Management" u="1"/>
        <s v="JMS CONSTRUCTION CO" u="1"/>
        <s v="Holiday Inn" u="1"/>
        <s v="Mosler Lofts             " u="1"/>
        <s v="Labkey Software          " u="1"/>
        <s v="U of W Real Estate Office" u="1"/>
        <s v="Premera Blue Cross" u="1"/>
        <s v="Ryan Companies US Inc" u="1"/>
        <s v="Prologis LP" u="1"/>
        <s v="F5 Networks at 401" u="1"/>
        <s v="Emcor National Accounts" u="1"/>
        <s v="South Suburban Parks and " u="1"/>
        <s v="Sorenson Communications  " u="1"/>
        <s v="Weingarten Realty Investors" u="1"/>
        <s v="Escala - Amy Laycock" u="1"/>
        <s v="Minor and James PLLC     " u="1"/>
        <s v="Burlington Tower Manageme" u="1"/>
        <s v="Crown Corr Inc           " u="1"/>
        <s v="WBRP II                  " u="1"/>
        <s v="WBRPI                    " u="1"/>
        <s v="TCI Inc General Contracto" u="1"/>
        <s v="City of Seattle DOT" u="1"/>
        <s v="Seattle Construction Resources" u="1"/>
        <s v="Montgomery Realty, LLC" u="1"/>
        <s v="Eaton Energy Solutions   " u="1"/>
        <s v="Renown" u="1"/>
        <s v="Jones Lang LaSalle Americas, Inc" u="1"/>
        <s v="Sprague Pest Solutions CO" u="1"/>
        <s v="Brooks Running" u="1"/>
        <s v="Reid Property Management" u="1"/>
        <s v="Essentia Natural Memory Foam Co" u="1"/>
        <s v="Verizon Wireless         " u="1"/>
        <s v="Clear Channel Radio      " u="1"/>
        <s v="Trinity Real Estate      " u="1"/>
        <s v="Largo LLC" u="1"/>
        <s v="Seattle University" u="1"/>
        <s v="Ecco Manufacturing" u="1"/>
        <s v="University of Washington" u="1"/>
        <s v="Ryan General Contractors" u="1"/>
        <s v="Deaconess Hospital" u="1"/>
        <s v="Sawyer Village           " u="1"/>
        <s v="SABEY CORPORATION        " u="1"/>
        <s v="Mobilitie" u="1"/>
        <s v="Ross Display" u="1"/>
        <s v="Xfinity Arena - Everett" u="1"/>
        <s v="LBA Realty BPCC-R2W300" u="1"/>
        <s v="MA Mortenson" u="1"/>
        <s v="Cabrini Medical Tower    " u="1"/>
        <s v="Hood River School Distric" u="1"/>
        <s v="Neil Walter Company      " u="1"/>
        <s v="Kidder Mathews" u="1"/>
        <s v="1712 Building            " u="1"/>
        <s v="Spokane Police Department" u="1"/>
        <s v="Garco Construction       " u="1"/>
        <s v="Pallino Pastaria" u="1"/>
        <s v="Power City Electric      " u="1"/>
        <s v="Ringside Fish House      " u="1"/>
        <s v="Carmike Cinemas" u="1"/>
        <s v="Urban Visions MFA Second &amp; Pike LLC" u="1"/>
        <s v="Falcon Art Community" u="1"/>
        <s v="Towne Apartments" u="1"/>
        <s v="Banner Bank              " u="1"/>
        <s v="First Cascade Corp" u="1"/>
        <s v="Mexico at Pacific Place" u="1"/>
        <s v="John Tallahan" u="1"/>
        <s v="UPS" u="1"/>
        <s v="Madrona Ridge LLC        " u="1"/>
        <s v="Bellevue Lincoln Plaza LL" u="1"/>
        <s v="Liberty Park Condos      " u="1"/>
        <s v="SD Deacon                " u="1"/>
        <s v="Venture General Contracting LLC" u="1"/>
        <s v="Michael Sutherlin        " u="1"/>
        <s v="Server Farm Realty" u="1"/>
        <s v="Eastholm Investments     " u="1"/>
        <s v="Steelhead Diner          " u="1"/>
        <s v="Federal Public Defenders" u="1"/>
        <s v="Coos Bay School District " u="1"/>
        <s v="Escala - Anne Chase" u="1"/>
        <s v="Work Source              " u="1"/>
        <s v="Parker Hannifin" u="1"/>
        <s v="Stockpot Soups" u="1"/>
        <s v="Amazon AP-Non Inventory  " u="1"/>
        <s v="Quil Ceda Village        " u="1"/>
        <s v="Tier Point" u="1"/>
        <s v="Ferrandino &amp; Son Inc" u="1"/>
        <s v="EMP                      " u="1"/>
        <s v="R&amp;H Construction         " u="1"/>
        <s v="AEP Span                 " u="1"/>
        <s v="HST Construction         " u="1"/>
        <s v="Hudson Bay Insulation    " u="1"/>
        <s v="CWD Group" u="1"/>
        <s v="World Mark The Club      " u="1"/>
        <s v="Department of Health" u="1"/>
        <s v="HOWARD S WRIGHT CONST." u="1"/>
        <s v="Stream Up Town           " u="1"/>
        <s v="Rebecca Treat" u="1"/>
        <s v="The Cheesecake Factory" u="1"/>
        <s v="JSH Properties           " u="1"/>
        <s v="Copper Hill Square" u="1"/>
        <s v="Fed Ex" u="1"/>
        <s v="Ace Hardware #4484" u="1"/>
        <s v="307 Westlake c/o CBRE, In" u="1"/>
        <s v="New Holstein School Distr" u="1"/>
        <s v="State Farm Mutual Automob" u="1"/>
        <s v="Arden Realty Inc Willow Creek Corporate Center 2025A" u="1"/>
        <s v="BPT Harve &amp; Wyomia Menkens" u="1"/>
        <s v="Lineage Logistics        " u="1"/>
        <s v="Option Care Enterprises, Inc" u="1"/>
        <s v="UNICO PROPERTIES" u="1"/>
        <s v="Essex Property Trust - Slater 116" u="1"/>
        <s v="PROPERTY DEVELOPMENT     " u="1"/>
        <s v="Western Washington Medical Group" u="1"/>
        <s v="505 Union Station LLC    " u="1"/>
        <s v="Helly Hansen - Auburn    " u="1"/>
        <s v="Cerium Networks" u="1"/>
        <s v="Hot Yoga                 " u="1"/>
        <s v="RockTenn Payment Processing" u="1"/>
        <s v="Energy Hippo Inc" u="1"/>
        <s v="Air Route Traffic Control" u="1"/>
        <s v="Ralcorp FBP" u="1"/>
        <s v="901 5th Ave Cray Computer" u="1"/>
        <s v="iheart Radio" u="1"/>
        <s v="Jefferson County" u="1"/>
        <s v="Ellsworth Builders Inc" u="1"/>
        <s v="Reklaim, Inc             " u="1"/>
        <s v="GRG USA LLC" u="1"/>
        <s v="Pacific Northwest Research Foundation" u="1"/>
        <s v="ZYK Enterprises" u="1"/>
        <s v="Dolan Built LLC          " u="1"/>
        <s v="The Gilbert House Apartments" u="1"/>
        <s v="City of Everett" u="1"/>
        <s v="Pyrotek                  " u="1"/>
        <s v="Jones Lang LaSalle Americas Inc" u="1"/>
        <s v="240 Radnor Chester Road I" u="1"/>
        <s v="ICON Corporation         " u="1"/>
        <s v="Pacific Coast Canola LLC " u="1"/>
        <s v="Seneca Family of Agencies" u="1"/>
        <s v="Newport Childrens School " u="1"/>
        <s v="All New Glass" u="1"/>
        <s v="Comcast Cable Company    " u="1"/>
        <s v="MUV Fitness              " u="1"/>
        <s v="Essex Property Trust     " u="1"/>
        <s v="Income Property Managemen" u="1"/>
        <s v="Commercial Property Management LLC" u="1"/>
        <s v="ShareHouse" u="1"/>
        <s v="Dimplex Thermal Solutions" u="1"/>
        <s v="Ed &amp; Teresa Andrews" u="1"/>
        <s v="T-Mobile PCS Holdings LLC" u="1"/>
        <s v="Ensite Solution, LLC     " u="1"/>
        <s v="City of Seattle" u="1"/>
        <s v="PHPDA C/O Jones Lang LaSalle" u="1"/>
        <s v="Yahoo" u="1"/>
        <s v="Danner Corporate Headquar" u="1"/>
        <s v="Tektronix" u="1"/>
        <s v="Gameworks" u="1"/>
        <s v="JE Cumming Corporation   " u="1"/>
        <s v="Whole Foods" u="1"/>
        <s v="Greystar                 " u="1"/>
        <s v="Alliance Bernstein" u="1"/>
        <s v="Kinder Morgan**DO NOT USE**" u="1"/>
        <s v="Escala - Jim Morris" u="1"/>
        <s v="Compendium Inc." u="1"/>
        <s v="Emma McRedmond           " u="1"/>
        <s v="Charter Board Coalition  " u="1"/>
        <s v="Gallery Condos" u="1"/>
        <s v="Juno Therpeutic" u="1"/>
        <s v="Tableau Software         " u="1"/>
        <s v="Howard S Wright Constructors" u="1"/>
        <s v="Meridian Plaza Shopping C" u="1"/>
        <s v="University of Portland   " u="1"/>
        <s v="PSE                      " u="1"/>
        <s v="Western Waterproofing Co " u="1"/>
        <s v="Neenan Company           " u="1"/>
        <s v="Roosevelt Commons" u="1"/>
        <s v="507 Northgate Apartments " u="1"/>
        <s v="DeGrazia General Contractors LLC" u="1"/>
        <s v="Klee Condominium" u="1"/>
        <s v="S &amp; B James Construction " u="1"/>
        <s v="TC Columbia Association  " u="1"/>
        <s v="Costco - WDC #1094" u="1"/>
        <s v="Kappes Miller Management " u="1"/>
        <s v="Adobe System Inc" u="1"/>
        <s v="PSM LLC                  " u="1"/>
        <s v="KIK Tacoma, Inc          " u="1"/>
        <s v="Marriott - Redmond Town C" u="1"/>
        <s v="The Boeing Company       " u="1"/>
        <s v="The Portland Clinic" u="1"/>
        <s v="Kim Sizemore             " u="1"/>
        <s v="USGS/BRD W FISHERIES RESE" u="1"/>
        <s v="One Convention Place" u="1"/>
        <s v="Siemens Industry Inc     " u="1"/>
        <s v="Skanska                  " u="1"/>
        <s v="Aon Risk Services" u="1"/>
        <s v="Boylston Street Assoc. LL" u="1"/>
        <s v="Northwest Hospital" u="1"/>
        <s v="LA Fitness" u="1"/>
        <s v="Bonneville International " u="1"/>
        <s v="Genetic Veterinary Sciences, Inc" u="1"/>
        <s v="Morelli Family LLC" u="1"/>
        <s v="World Vision c/o CBRE    " u="1"/>
        <s v="Peninsula College" u="1"/>
        <s v="Howard S Wright          " u="1"/>
        <s v="Merit Company        3020" u="1"/>
        <s v="Integral Consulting Inc" u="1"/>
        <s v="Harrison West Owners Asso" u="1"/>
        <s v="Dassault Systemes Americas Corp" u="1"/>
        <s v="Stanwood - Camano School District" u="1"/>
        <s v="City of Fort Collins" u="1"/>
        <s v="JCI - Key Bank           " u="1"/>
        <s v="Artic Llighting &amp; Electric LLC" u="1"/>
        <s v="Washington United Termina" u="1"/>
        <s v="Architects West Inc      " u="1"/>
        <s v="Great Falls School Distri" u="1"/>
        <s v="Made in Washington       " u="1"/>
        <s v="Univar                   " u="1"/>
      </sharedItems>
    </cacheField>
    <cacheField name="Customer#" numFmtId="0">
      <sharedItems containsNonDate="0" containsString="0" containsBlank="1"/>
    </cacheField>
    <cacheField name="Contract#" numFmtId="0">
      <sharedItems containsNonDate="0" containsString="0" containsBlank="1"/>
    </cacheField>
    <cacheField name="Invoice#" numFmtId="0">
      <sharedItems containsNonDate="0" containsString="0" containsBlank="1"/>
    </cacheField>
    <cacheField name="InvoiceDate" numFmtId="166">
      <sharedItems containsNonDate="0" containsString="0" containsBlank="1"/>
    </cacheField>
    <cacheField name="DueDate" numFmtId="166">
      <sharedItems containsNonDate="0" containsString="0" containsBlank="1"/>
    </cacheField>
    <cacheField name="TotalInvoiced" numFmtId="4">
      <sharedItems containsNonDate="0" containsString="0" containsBlank="1"/>
    </cacheField>
    <cacheField name="DaysPastDue" numFmtId="0">
      <sharedItems containsNonDate="0" containsString="0" containsBlank="1"/>
    </cacheField>
    <cacheField name="Current" numFmtId="4">
      <sharedItems containsNonDate="0" containsString="0" containsBlank="1"/>
    </cacheField>
    <cacheField name="Aged1to30" numFmtId="4">
      <sharedItems containsNonDate="0" containsString="0" containsBlank="1"/>
    </cacheField>
    <cacheField name="Aged31to60" numFmtId="4">
      <sharedItems containsNonDate="0" containsString="0" containsBlank="1"/>
    </cacheField>
    <cacheField name="Aged61to90" numFmtId="4">
      <sharedItems containsNonDate="0" containsString="0" containsBlank="1"/>
    </cacheField>
    <cacheField name="AgedOver90" numFmtId="4">
      <sharedItems containsNonDate="0" containsString="0" containsBlank="1"/>
    </cacheField>
    <cacheField name="TotalAged" numFmtId="4">
      <sharedItems containsNonDate="0" containsString="0" containsBlank="1"/>
    </cacheField>
    <cacheField name="Retainage" numFmtId="4">
      <sharedItems containsNonDate="0" containsString="0" containsBlank="1"/>
    </cacheField>
    <cacheField name="Paid" numFmtId="4">
      <sharedItems containsNonDate="0" containsString="0" containsBlank="1"/>
    </cacheField>
    <cacheField name="CollectionNotes" numFmtId="0">
      <sharedItems containsNonDate="0" containsString="0" containsBlank="1"/>
    </cacheField>
    <cacheField name="FinancialPeriod" numFmtId="166">
      <sharedItems containsNonDate="0" containsString="0" containsBlank="1"/>
    </cacheField>
    <cacheField name="AsOfDate" numFmtId="166">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x v="0"/>
    <x v="0"/>
    <m/>
    <m/>
    <x v="0"/>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6" applyNumberFormats="0" applyBorderFormats="0" applyFontFormats="0" applyPatternFormats="0" applyAlignmentFormats="0" applyWidthHeightFormats="1" dataCaption="Values" missingCaption="0" updatedVersion="6" minRefreshableVersion="3" itemPrintTitles="1" createdVersion="5" indent="0" compact="0" compactData="0" multipleFieldFilters="0">
  <location ref="A11:G13" firstHeaderRow="0" firstDataRow="1" firstDataCol="1" rowPageCount="2" colPageCount="1"/>
  <pivotFields count="25">
    <pivotField axis="axisPage" compact="0" outline="0" showAll="0">
      <items count="5">
        <item m="1" x="2"/>
        <item m="1" x="3"/>
        <item m="1" x="1"/>
        <item x="0"/>
        <item t="default"/>
      </items>
    </pivotField>
    <pivotField compact="0" outline="0" showAll="0" defaultSubtotal="0"/>
    <pivotField compact="0" outline="0" showAll="0" defaultSubtotal="0"/>
    <pivotField axis="axisPage" compact="0" outline="0" showAll="0">
      <items count="1989">
        <item m="1" x="1"/>
        <item m="1" x="1238"/>
        <item m="1" x="275"/>
        <item m="1" x="60"/>
        <item m="1" x="1401"/>
        <item m="1" x="1579"/>
        <item m="1" x="1307"/>
        <item m="1" x="416"/>
        <item m="1" x="14"/>
        <item m="1" x="796"/>
        <item m="1" x="813"/>
        <item m="1" x="941"/>
        <item m="1" x="608"/>
        <item m="1" x="1384"/>
        <item m="1" x="213"/>
        <item m="1" x="410"/>
        <item m="1" x="1247"/>
        <item m="1" x="694"/>
        <item m="1" x="461"/>
        <item m="1" x="932"/>
        <item m="1" x="1399"/>
        <item m="1" x="193"/>
        <item m="1" x="57"/>
        <item m="1" x="1739"/>
        <item m="1" x="556"/>
        <item m="1" x="1673"/>
        <item m="1" x="862"/>
        <item m="1" x="542"/>
        <item m="1" x="1794"/>
        <item m="1" x="994"/>
        <item m="1" x="724"/>
        <item m="1" x="1311"/>
        <item m="1" x="119"/>
        <item m="1" x="1921"/>
        <item m="1" x="964"/>
        <item m="1" x="1312"/>
        <item m="1" x="21"/>
        <item m="1" x="1221"/>
        <item m="1" x="574"/>
        <item m="1" x="1504"/>
        <item m="1" x="1637"/>
        <item m="1" x="1135"/>
        <item m="1" x="1896"/>
        <item m="1" x="1329"/>
        <item m="1" x="826"/>
        <item m="1" x="232"/>
        <item m="1" x="627"/>
        <item m="1" x="1639"/>
        <item m="1" x="1727"/>
        <item m="1" x="332"/>
        <item m="1" x="174"/>
        <item m="1" x="1933"/>
        <item m="1" x="778"/>
        <item m="1" x="468"/>
        <item m="1" x="1094"/>
        <item m="1" x="1670"/>
        <item m="1" x="1546"/>
        <item m="1" x="1244"/>
        <item m="1" x="737"/>
        <item m="1" x="122"/>
        <item m="1" x="1162"/>
        <item m="1" x="1972"/>
        <item m="1" x="1939"/>
        <item m="1" x="340"/>
        <item m="1" x="577"/>
        <item m="1" x="1576"/>
        <item m="1" x="411"/>
        <item m="1" x="940"/>
        <item m="1" x="158"/>
        <item m="1" x="791"/>
        <item m="1" x="274"/>
        <item m="1" x="291"/>
        <item m="1" x="1236"/>
        <item m="1" x="928"/>
        <item m="1" x="1160"/>
        <item m="1" x="1492"/>
        <item m="1" x="306"/>
        <item m="1" x="792"/>
        <item m="1" x="1690"/>
        <item m="1" x="1449"/>
        <item m="1" x="769"/>
        <item m="1" x="120"/>
        <item m="1" x="515"/>
        <item m="1" x="1293"/>
        <item m="1" x="249"/>
        <item m="1" x="640"/>
        <item m="1" x="481"/>
        <item m="1" x="1189"/>
        <item m="1" x="277"/>
        <item m="1" x="1602"/>
        <item m="1" x="783"/>
        <item m="1" x="1737"/>
        <item m="1" x="1811"/>
        <item m="1" x="781"/>
        <item m="1" x="1949"/>
        <item m="1" x="1283"/>
        <item m="1" x="289"/>
        <item m="1" x="1886"/>
        <item m="1" x="448"/>
        <item m="1" x="1941"/>
        <item m="1" x="795"/>
        <item m="1" x="681"/>
        <item m="1" x="1883"/>
        <item m="1" x="615"/>
        <item m="1" x="1163"/>
        <item m="1" x="1701"/>
        <item m="1" x="1868"/>
        <item m="1" x="1878"/>
        <item m="1" x="1489"/>
        <item m="1" x="39"/>
        <item m="1" x="658"/>
        <item m="1" x="1555"/>
        <item m="1" x="1853"/>
        <item m="1" x="1712"/>
        <item m="1" x="1036"/>
        <item m="1" x="1041"/>
        <item m="1" x="785"/>
        <item m="1" x="1967"/>
        <item m="1" x="818"/>
        <item m="1" x="809"/>
        <item m="1" x="211"/>
        <item m="1" x="951"/>
        <item m="1" x="1196"/>
        <item m="1" x="280"/>
        <item m="1" x="1700"/>
        <item m="1" x="165"/>
        <item m="1" x="971"/>
        <item m="1" x="957"/>
        <item m="1" x="316"/>
        <item m="1" x="1472"/>
        <item m="1" x="517"/>
        <item m="1" x="1840"/>
        <item m="1" x="1704"/>
        <item m="1" x="1170"/>
        <item m="1" x="1629"/>
        <item m="1" x="678"/>
        <item m="1" x="1028"/>
        <item m="1" x="235"/>
        <item m="1" x="817"/>
        <item m="1" x="725"/>
        <item m="1" x="840"/>
        <item m="1" x="1157"/>
        <item m="1" x="1572"/>
        <item m="1" x="1532"/>
        <item m="1" x="1044"/>
        <item m="1" x="669"/>
        <item m="1" x="1392"/>
        <item m="1" x="927"/>
        <item m="1" x="1598"/>
        <item m="1" x="1709"/>
        <item m="1" x="881"/>
        <item m="1" x="1150"/>
        <item m="1" x="236"/>
        <item m="1" x="427"/>
        <item m="1" x="571"/>
        <item m="1" x="1019"/>
        <item m="1" x="512"/>
        <item m="1" x="104"/>
        <item m="1" x="1524"/>
        <item m="1" x="1264"/>
        <item m="1" x="1087"/>
        <item m="1" x="1534"/>
        <item m="1" x="656"/>
        <item m="1" x="599"/>
        <item m="1" x="111"/>
        <item m="1" x="432"/>
        <item m="1" x="540"/>
        <item m="1" x="220"/>
        <item m="1" x="105"/>
        <item m="1" x="1180"/>
        <item m="1" x="1138"/>
        <item m="1" x="579"/>
        <item m="1" x="1963"/>
        <item m="1" x="385"/>
        <item m="1" x="606"/>
        <item m="1" x="1965"/>
        <item m="1" x="648"/>
        <item m="1" x="1680"/>
        <item m="1" x="812"/>
        <item m="1" x="1586"/>
        <item m="1" x="1793"/>
        <item m="1" x="246"/>
        <item m="1" x="708"/>
        <item m="1" x="146"/>
        <item m="1" x="688"/>
        <item m="1" x="61"/>
        <item m="1" x="1268"/>
        <item m="1" x="711"/>
        <item m="1" x="1239"/>
        <item m="1" x="343"/>
        <item m="1" x="420"/>
        <item m="1" x="1756"/>
        <item m="1" x="764"/>
        <item m="1" x="1645"/>
        <item m="1" x="758"/>
        <item m="1" x="1910"/>
        <item m="1" x="86"/>
        <item m="1" x="539"/>
        <item m="1" x="338"/>
        <item m="1" x="1951"/>
        <item m="1" x="1916"/>
        <item m="1" x="34"/>
        <item m="1" x="1885"/>
        <item m="1" x="206"/>
        <item m="1" x="693"/>
        <item m="1" x="1977"/>
        <item m="1" x="1634"/>
        <item m="1" x="1935"/>
        <item m="1" x="989"/>
        <item m="1" x="1751"/>
        <item m="1" x="1386"/>
        <item m="1" x="1907"/>
        <item m="1" x="1179"/>
        <item m="1" x="626"/>
        <item m="1" x="739"/>
        <item m="1" x="1772"/>
        <item m="1" x="1368"/>
        <item m="1" x="650"/>
        <item m="1" x="1523"/>
        <item m="1" x="1675"/>
        <item m="1" x="1270"/>
        <item m="1" x="741"/>
        <item m="1" x="115"/>
        <item m="1" x="1710"/>
        <item m="1" x="1731"/>
        <item m="1" x="184"/>
        <item m="1" x="308"/>
        <item m="1" x="1204"/>
        <item m="1" x="1620"/>
        <item m="1" x="1667"/>
        <item m="1" x="966"/>
        <item m="1" x="808"/>
        <item m="1" x="1522"/>
        <item m="1" x="1433"/>
        <item m="1" x="1269"/>
        <item m="1" x="112"/>
        <item m="1" x="1328"/>
        <item m="1" x="136"/>
        <item m="1" x="570"/>
        <item m="1" x="1589"/>
        <item m="1" x="1557"/>
        <item m="1" x="894"/>
        <item m="1" x="1394"/>
        <item m="1" x="310"/>
        <item m="1" x="915"/>
        <item m="1" x="1678"/>
        <item m="1" x="575"/>
        <item m="1" x="1786"/>
        <item m="1" x="474"/>
        <item m="1" x="1231"/>
        <item m="1" x="1550"/>
        <item m="1" x="288"/>
        <item m="1" x="28"/>
        <item m="1" x="1173"/>
        <item m="1" x="1463"/>
        <item m="1" x="1275"/>
        <item m="1" x="1288"/>
        <item m="1" x="1172"/>
        <item m="1" x="352"/>
        <item m="1" x="1686"/>
        <item m="1" x="1591"/>
        <item m="1" x="1632"/>
        <item m="1" x="1086"/>
        <item m="1" x="1695"/>
        <item m="1" x="400"/>
        <item m="1" x="1722"/>
        <item m="1" x="1356"/>
        <item m="1" x="127"/>
        <item m="1" x="879"/>
        <item m="1" x="1960"/>
        <item m="1" x="1133"/>
        <item m="1" x="328"/>
        <item m="1" x="759"/>
        <item m="1" x="47"/>
        <item m="1" x="1860"/>
        <item m="1" x="1714"/>
        <item m="1" x="1439"/>
        <item m="1" x="541"/>
        <item m="1" x="730"/>
        <item m="1" x="66"/>
        <item m="1" x="1143"/>
        <item m="1" x="1537"/>
        <item m="1" x="487"/>
        <item m="1" x="495"/>
        <item m="1" x="319"/>
        <item m="1" x="970"/>
        <item m="1" x="1290"/>
        <item m="1" x="1038"/>
        <item m="1" x="1533"/>
        <item m="1" x="814"/>
        <item m="1" x="36"/>
        <item m="1" x="1914"/>
        <item m="1" x="465"/>
        <item m="1" x="624"/>
        <item m="1" x="1732"/>
        <item m="1" x="1190"/>
        <item m="1" x="1095"/>
        <item m="1" x="836"/>
        <item m="1" x="912"/>
        <item m="1" x="447"/>
        <item m="1" x="1240"/>
        <item m="1" x="1891"/>
        <item m="1" x="780"/>
        <item m="1" x="660"/>
        <item m="1" x="485"/>
        <item m="1" x="1248"/>
        <item m="1" x="598"/>
        <item m="1" x="1254"/>
        <item m="1" x="913"/>
        <item m="1" x="587"/>
        <item m="1" x="234"/>
        <item m="1" x="1265"/>
        <item m="1" x="1181"/>
        <item m="1" x="1621"/>
        <item m="1" x="423"/>
        <item m="1" x="223"/>
        <item m="1" x="439"/>
        <item m="1" x="991"/>
        <item m="1" x="40"/>
        <item m="1" x="48"/>
        <item m="1" x="157"/>
        <item m="1" x="1889"/>
        <item m="1" x="124"/>
        <item m="1" x="670"/>
        <item m="1" x="707"/>
        <item m="1" x="588"/>
        <item m="1" x="1740"/>
        <item m="1" x="1452"/>
        <item m="1" x="942"/>
        <item m="1" x="199"/>
        <item m="1" x="320"/>
        <item m="1" x="1671"/>
        <item m="1" x="632"/>
        <item m="1" x="1169"/>
        <item m="1" x="663"/>
        <item m="1" x="683"/>
        <item m="1" x="1643"/>
        <item m="1" x="1831"/>
        <item m="1" x="884"/>
        <item m="1" x="552"/>
        <item m="1" x="1134"/>
        <item m="1" x="1012"/>
        <item m="1" x="823"/>
        <item m="1" x="652"/>
        <item m="1" x="1908"/>
        <item m="1" x="1305"/>
        <item m="1" x="298"/>
        <item m="1" x="1622"/>
        <item m="1" x="857"/>
        <item m="1" x="992"/>
        <item m="1" x="936"/>
        <item m="1" x="1887"/>
        <item m="1" x="1108"/>
        <item m="1" x="544"/>
        <item m="1" x="488"/>
        <item m="1" x="1408"/>
        <item m="1" x="455"/>
        <item m="1" x="710"/>
        <item m="1" x="1370"/>
        <item m="1" x="1791"/>
        <item m="1" x="744"/>
        <item m="1" x="947"/>
        <item m="1" x="51"/>
        <item m="1" x="1588"/>
        <item m="1" x="107"/>
        <item m="1" x="1308"/>
        <item m="1" x="163"/>
        <item m="1" x="1825"/>
        <item m="1" x="257"/>
        <item m="1" x="131"/>
        <item m="1" x="166"/>
        <item m="1" x="1435"/>
        <item m="1" x="1864"/>
        <item m="1" x="1148"/>
        <item m="1" x="1491"/>
        <item m="1" x="635"/>
        <item m="1" x="1470"/>
        <item m="1" x="1317"/>
        <item m="1" x="1416"/>
        <item m="1" x="625"/>
        <item m="1" x="641"/>
        <item m="1" x="470"/>
        <item m="1" x="776"/>
        <item m="1" x="85"/>
        <item m="1" x="472"/>
        <item m="1" x="1091"/>
        <item m="1" x="1325"/>
        <item m="1" x="76"/>
        <item m="1" x="1114"/>
        <item m="1" x="1861"/>
        <item m="1" x="996"/>
        <item m="1" x="458"/>
        <item m="1" x="1155"/>
        <item m="1" x="703"/>
        <item m="1" x="623"/>
        <item m="1" x="1158"/>
        <item m="1" x="1213"/>
        <item m="1" x="979"/>
        <item m="1" x="534"/>
        <item m="1" x="1334"/>
        <item m="1" x="522"/>
        <item m="1" x="261"/>
        <item m="1" x="1567"/>
        <item m="1" x="443"/>
        <item m="1" x="2"/>
        <item m="1" x="350"/>
        <item m="1" x="1031"/>
        <item m="1" x="1237"/>
        <item m="1" x="1313"/>
        <item m="1" x="1444"/>
        <item m="1" x="396"/>
        <item m="1" x="345"/>
        <item m="1" x="896"/>
        <item m="1" x="1662"/>
        <item m="1" x="907"/>
        <item m="1" x="842"/>
        <item m="1" x="1002"/>
        <item m="1" x="1723"/>
        <item m="1" x="285"/>
        <item m="1" x="1580"/>
        <item m="1" x="263"/>
        <item m="1" x="904"/>
        <item m="1" x="709"/>
        <item m="1" x="1542"/>
        <item m="1" x="70"/>
        <item m="1" x="1149"/>
        <item m="1" x="1395"/>
        <item m="1" x="1465"/>
        <item m="1" x="1610"/>
        <item m="1" x="233"/>
        <item m="1" x="831"/>
        <item m="1" x="185"/>
        <item m="1" x="921"/>
        <item m="1" x="359"/>
        <item m="1" x="186"/>
        <item m="1" x="356"/>
        <item m="1" x="843"/>
        <item m="1" x="706"/>
        <item m="1" x="613"/>
        <item m="1" x="782"/>
        <item m="1" x="1792"/>
        <item m="1" x="908"/>
        <item m="1" x="849"/>
        <item m="1" x="914"/>
        <item m="1" x="1699"/>
        <item m="1" x="1549"/>
        <item m="1" x="1775"/>
        <item m="1" x="1511"/>
        <item m="1" x="237"/>
        <item m="1" x="961"/>
        <item m="1" x="959"/>
        <item m="1" x="1547"/>
        <item m="1" x="600"/>
        <item m="1" x="870"/>
        <item m="1" x="1262"/>
        <item m="1" x="471"/>
        <item m="1" x="1424"/>
        <item m="1" x="1077"/>
        <item m="1" x="1218"/>
        <item m="1" x="1952"/>
        <item m="1" x="1877"/>
        <item m="1" x="278"/>
        <item m="1" x="1566"/>
        <item m="1" x="484"/>
        <item m="1" x="1484"/>
        <item m="1" x="248"/>
        <item m="1" x="1651"/>
        <item m="1" x="890"/>
        <item m="1" x="1455"/>
        <item m="1" x="1000"/>
        <item m="1" x="1597"/>
        <item m="1" x="684"/>
        <item m="1" x="335"/>
        <item m="1" x="902"/>
        <item m="1" x="390"/>
        <item m="1" x="1266"/>
        <item m="1" x="194"/>
        <item m="1" x="1604"/>
        <item m="1" x="844"/>
        <item m="1" x="832"/>
        <item m="1" x="1183"/>
        <item m="1" x="1339"/>
        <item m="1" x="1870"/>
        <item m="1" x="1209"/>
        <item m="1" x="944"/>
        <item m="1" x="1205"/>
        <item m="1" x="362"/>
        <item m="1" x="1478"/>
        <item m="1" x="1753"/>
        <item m="1" x="301"/>
        <item m="1" x="1788"/>
        <item m="1" x="762"/>
        <item m="1" x="554"/>
        <item m="1" x="1111"/>
        <item m="1" x="1705"/>
        <item m="1" x="1347"/>
        <item m="1" x="1336"/>
        <item m="1" x="1341"/>
        <item m="1" x="909"/>
        <item m="1" x="716"/>
        <item m="1" x="1803"/>
        <item m="1" x="368"/>
        <item m="1" x="1320"/>
        <item m="1" x="380"/>
        <item m="1" x="452"/>
        <item m="1" x="1052"/>
        <item m="1" x="445"/>
        <item m="1" x="1272"/>
        <item m="1" x="695"/>
        <item m="1" x="553"/>
        <item m="1" x="1894"/>
        <item m="1" x="729"/>
        <item m="1" x="1366"/>
        <item m="1" x="1663"/>
        <item m="1" x="1875"/>
        <item m="1" x="1582"/>
        <item m="1" x="1884"/>
        <item m="1" x="1703"/>
        <item m="1" x="719"/>
        <item m="1" x="3"/>
        <item m="1" x="1129"/>
        <item m="1" x="877"/>
        <item m="1" x="79"/>
        <item m="1" x="281"/>
        <item m="1" x="1467"/>
        <item m="1" x="578"/>
        <item m="1" x="869"/>
        <item m="1" x="1137"/>
        <item m="1" x="1106"/>
        <item m="1" x="1749"/>
        <item m="1" x="1653"/>
        <item m="1" x="1790"/>
        <item m="1" x="699"/>
        <item m="1" x="1928"/>
        <item m="1" x="1097"/>
        <item m="1" x="1402"/>
        <item m="1" x="1214"/>
        <item m="1" x="1326"/>
        <item m="1" x="1881"/>
        <item m="1" x="1176"/>
        <item m="1" x="473"/>
        <item m="1" x="434"/>
        <item m="1" x="1503"/>
        <item m="1" x="1477"/>
        <item m="1" x="78"/>
        <item m="1" x="250"/>
        <item m="1" x="1460"/>
        <item m="1" x="893"/>
        <item m="1" x="496"/>
        <item m="1" x="365"/>
        <item m="1" x="1866"/>
        <item m="1" x="728"/>
        <item m="1" x="856"/>
        <item m="1" x="1331"/>
        <item m="1" x="657"/>
        <item m="1" x="1936"/>
        <item m="1" x="609"/>
        <item m="1" x="1561"/>
        <item m="1" x="1411"/>
        <item m="1" x="1374"/>
        <item m="1" x="1195"/>
        <item m="1" x="1752"/>
        <item m="1" x="1911"/>
        <item m="1" x="1735"/>
        <item m="1" x="55"/>
        <item m="1" x="1076"/>
        <item m="1" x="620"/>
        <item m="1" x="98"/>
        <item m="1" x="1823"/>
        <item m="1" x="1421"/>
        <item m="1" x="327"/>
        <item m="1" x="687"/>
        <item m="1" x="1177"/>
        <item m="1" x="9"/>
        <item m="1" x="646"/>
        <item m="1" x="200"/>
        <item m="1" x="1608"/>
        <item m="1" x="4"/>
        <item m="1" x="100"/>
        <item m="1" x="1276"/>
        <item m="1" x="1090"/>
        <item m="1" x="1852"/>
        <item m="1" x="369"/>
        <item m="1" x="603"/>
        <item m="1" x="1459"/>
        <item m="1" x="1479"/>
        <item m="1" x="1078"/>
        <item m="1" x="1064"/>
        <item m="1" x="851"/>
        <item m="1" x="1626"/>
        <item m="1" x="435"/>
        <item m="1" x="510"/>
        <item m="1" x="824"/>
        <item m="1" x="1318"/>
        <item m="1" x="355"/>
        <item m="1" x="1636"/>
        <item m="1" x="1766"/>
        <item m="1" x="993"/>
        <item m="1" x="456"/>
        <item m="1" x="974"/>
        <item m="1" x="1782"/>
        <item m="1" x="713"/>
        <item m="1" x="895"/>
        <item m="1" x="898"/>
        <item m="1" x="1324"/>
        <item m="1" x="1833"/>
        <item m="1" x="1953"/>
        <item m="1" x="918"/>
        <item m="1" x="1400"/>
        <item m="1" x="925"/>
        <item m="1" x="294"/>
        <item m="1" x="1187"/>
        <item m="1" x="519"/>
        <item m="1" x="800"/>
        <item m="1" x="671"/>
        <item m="1" x="1457"/>
        <item m="1" x="1233"/>
        <item m="1" x="5"/>
        <item m="1" x="11"/>
        <item m="1" x="549"/>
        <item m="1" x="1802"/>
        <item m="1" x="1818"/>
        <item m="1" x="1564"/>
        <item m="1" x="50"/>
        <item m="1" x="946"/>
        <item m="1" x="154"/>
        <item m="1" x="94"/>
        <item m="1" x="290"/>
        <item m="1" x="1796"/>
        <item m="1" x="931"/>
        <item m="1" x="1017"/>
        <item m="1" x="557"/>
        <item m="1" x="426"/>
        <item m="1" x="339"/>
        <item m="1" x="231"/>
        <item m="1" x="402"/>
        <item m="1" x="1075"/>
        <item m="1" x="1301"/>
        <item m="1" x="1627"/>
        <item m="1" x="789"/>
        <item m="1" x="1778"/>
        <item m="1" x="137"/>
        <item m="1" x="1855"/>
        <item m="1" x="1978"/>
        <item m="1" x="1229"/>
        <item m="1" x="1955"/>
        <item m="1" x="865"/>
        <item m="1" x="1291"/>
        <item m="1" x="196"/>
        <item m="1" x="41"/>
        <item m="1" x="830"/>
        <item m="1" x="1482"/>
        <item m="1" x="679"/>
        <item m="1" x="1212"/>
        <item m="1" x="1104"/>
        <item m="1" x="494"/>
        <item m="1" x="1630"/>
        <item m="1" x="1776"/>
        <item m="1" x="201"/>
        <item m="1" x="337"/>
        <item m="1" x="256"/>
        <item m="1" x="1071"/>
        <item m="1" x="1647"/>
        <item m="1" x="637"/>
        <item m="1" x="1186"/>
        <item m="1" x="805"/>
        <item m="1" x="616"/>
        <item m="1" x="1243"/>
        <item m="1" x="1048"/>
        <item m="1" x="252"/>
        <item m="1" x="965"/>
        <item m="1" x="1664"/>
        <item m="1" x="270"/>
        <item m="1" x="1476"/>
        <item m="1" x="1049"/>
        <item m="1" x="1509"/>
        <item m="1" x="803"/>
        <item m="1" x="1920"/>
        <item m="1" x="755"/>
        <item m="1" x="1730"/>
        <item m="1" x="182"/>
        <item m="1" x="431"/>
        <item m="1" x="1474"/>
        <item m="1" x="1918"/>
        <item m="1" x="1512"/>
        <item m="1" x="945"/>
        <item m="1" x="535"/>
        <item m="1" x="1222"/>
        <item m="1" x="1721"/>
        <item m="1" x="1548"/>
        <item m="1" x="864"/>
        <item m="1" x="1340"/>
        <item m="1" x="1915"/>
        <item m="1" x="1762"/>
        <item m="1" x="997"/>
        <item m="1" x="1295"/>
        <item m="1" x="1115"/>
        <item m="1" x="229"/>
        <item m="1" x="18"/>
        <item m="1" x="371"/>
        <item m="1" x="672"/>
        <item m="1" x="491"/>
        <item m="1" x="108"/>
        <item m="1" x="850"/>
        <item m="1" x="1748"/>
        <item m="1" x="1495"/>
        <item m="1" x="260"/>
        <item m="1" x="482"/>
        <item m="1" x="511"/>
        <item m="1" x="1154"/>
        <item m="1" x="1131"/>
        <item m="1" x="880"/>
        <item m="1" x="614"/>
        <item m="1" x="453"/>
        <item m="1" x="190"/>
        <item m="1" x="242"/>
        <item m="1" x="1379"/>
        <item m="1" x="1120"/>
        <item m="1" x="110"/>
        <item m="1" x="1738"/>
        <item m="1" x="518"/>
        <item m="1" x="207"/>
        <item m="1" x="507"/>
        <item m="1" x="1979"/>
        <item m="1" x="1032"/>
        <item m="1" x="373"/>
        <item m="1" x="244"/>
        <item m="1" x="1892"/>
        <item m="1" x="1338"/>
        <item m="1" x="414"/>
        <item m="1" x="1815"/>
        <item m="1" x="1521"/>
        <item m="1" x="386"/>
        <item m="1" x="1300"/>
        <item m="1" x="757"/>
        <item m="1" x="304"/>
        <item m="1" x="1959"/>
        <item m="1" x="1618"/>
        <item m="1" x="1383"/>
        <item m="1" x="790"/>
        <item m="1" x="1922"/>
        <item m="1" x="189"/>
        <item m="1" x="1414"/>
        <item m="1" x="1282"/>
        <item m="1" x="268"/>
        <item m="1" x="953"/>
        <item m="1" x="1623"/>
        <item m="1" x="96"/>
        <item m="1" x="35"/>
        <item m="1" x="1650"/>
        <item m="1" x="149"/>
        <item m="1" x="1850"/>
        <item m="1" x="1185"/>
        <item m="1" x="1079"/>
        <item m="1" x="181"/>
        <item m="1" x="29"/>
        <item m="1" x="205"/>
        <item m="1" x="1223"/>
        <item m="1" x="1688"/>
        <item m="1" x="1517"/>
        <item m="1" x="887"/>
        <item m="1" x="1056"/>
        <item m="1" x="1648"/>
        <item m="1" x="867"/>
        <item m="1" x="1151"/>
        <item m="1" x="80"/>
        <item m="1" x="1890"/>
        <item m="1" x="1042"/>
        <item m="1" x="160"/>
        <item m="1" x="1755"/>
        <item m="1" x="1980"/>
        <item m="1" x="1593"/>
        <item m="1" x="1528"/>
        <item m="1" x="54"/>
        <item m="1" x="696"/>
        <item m="1" x="593"/>
        <item m="1" x="1575"/>
        <item m="1" x="1578"/>
        <item m="1" x="1779"/>
        <item m="1" x="16"/>
        <item m="1" x="1687"/>
        <item m="1" x="897"/>
        <item m="1" x="442"/>
        <item m="1" x="1635"/>
        <item m="1" x="811"/>
        <item m="1" x="572"/>
        <item m="1" x="948"/>
        <item m="1" x="1614"/>
        <item m="1" x="92"/>
        <item m="1" x="1527"/>
        <item m="1" x="883"/>
        <item m="1" x="1743"/>
        <item m="1" x="1083"/>
        <item m="1" x="1271"/>
        <item m="1" x="1357"/>
        <item m="1" x="90"/>
        <item m="1" x="990"/>
        <item m="1" x="1596"/>
        <item m="1" x="89"/>
        <item m="1" x="1594"/>
        <item m="1" x="1897"/>
        <item m="1" x="1615"/>
        <item m="1" x="829"/>
        <item m="1" x="1789"/>
        <item m="1" x="1445"/>
        <item m="1" x="1773"/>
        <item m="1" x="568"/>
        <item m="1" x="1956"/>
        <item m="1" x="1829"/>
        <item m="1" x="645"/>
        <item m="1" x="162"/>
        <item m="1" x="1286"/>
        <item m="1" x="123"/>
        <item m="1" x="825"/>
        <item m="1" x="1837"/>
        <item m="1" x="1520"/>
        <item m="1" x="121"/>
        <item m="1" x="1930"/>
        <item m="1" x="582"/>
        <item m="1" x="302"/>
        <item m="1" x="311"/>
        <item m="1" x="861"/>
        <item m="1" x="1499"/>
        <item m="1" x="516"/>
        <item m="1" x="476"/>
        <item m="1" x="638"/>
        <item m="1" x="1335"/>
        <item m="1" x="344"/>
        <item m="1" x="1854"/>
        <item m="1" x="1055"/>
        <item m="1" x="1144"/>
        <item m="1" x="1391"/>
        <item m="1" x="1799"/>
        <item m="1" x="1436"/>
        <item m="1" x="1679"/>
        <item m="1" x="1674"/>
        <item m="1" x="1646"/>
        <item m="1" x="1819"/>
        <item m="1" x="1535"/>
        <item m="1" x="772"/>
        <item m="1" x="717"/>
        <item m="1" x="151"/>
        <item m="1" x="1901"/>
        <item m="1" x="1007"/>
        <item m="1" x="816"/>
        <item m="1" x="590"/>
        <item m="1" x="404"/>
        <item m="1" x="527"/>
        <item m="1" x="336"/>
        <item m="1" x="1869"/>
        <item m="1" x="1900"/>
        <item m="1" x="1757"/>
        <item m="1" x="1592"/>
        <item m="1" x="605"/>
        <item m="1" x="419"/>
        <item m="1" x="87"/>
        <item m="1" x="1443"/>
        <item m="1" x="230"/>
        <item m="1" x="630"/>
        <item m="1" x="15"/>
        <item m="1" x="828"/>
        <item m="1" x="573"/>
        <item m="1" x="1040"/>
        <item m="1" x="801"/>
        <item m="1" x="303"/>
        <item m="1" x="126"/>
        <item m="1" x="321"/>
        <item m="1" x="12"/>
        <item m="1" x="763"/>
        <item m="1" x="1009"/>
        <item m="1" x="1781"/>
        <item m="1" x="1258"/>
        <item m="1" x="1375"/>
        <item m="1" x="1644"/>
        <item m="1" x="65"/>
        <item m="1" x="968"/>
        <item m="1" x="503"/>
        <item m="1" x="631"/>
        <item m="1" x="171"/>
        <item m="1" x="596"/>
        <item m="1" x="1103"/>
        <item m="1" x="848"/>
        <item m="1" x="1440"/>
        <item m="1" x="1203"/>
        <item m="1" x="1702"/>
        <item m="1" x="425"/>
        <item m="1" x="1969"/>
        <item m="1" x="622"/>
        <item m="1" x="239"/>
        <item m="1" x="1161"/>
        <item m="1" x="845"/>
        <item m="1" x="247"/>
        <item m="1" x="176"/>
        <item m="1" x="1584"/>
        <item m="1" x="1797"/>
        <item m="1" x="1063"/>
        <item m="1" x="797"/>
        <item m="1" x="210"/>
        <item m="1" x="559"/>
        <item m="1" x="1316"/>
        <item m="1" x="1306"/>
        <item m="1" x="1088"/>
        <item m="1" x="1314"/>
        <item m="1" x="998"/>
        <item m="1" x="378"/>
        <item m="1" x="1616"/>
        <item m="1" x="786"/>
        <item m="1" x="180"/>
        <item m="1" x="532"/>
        <item m="1" x="272"/>
        <item m="1" x="1425"/>
        <item m="1" x="1473"/>
        <item m="1" x="129"/>
        <item m="1" x="167"/>
        <item m="1" x="1845"/>
        <item m="1" x="1538"/>
        <item m="1" x="839"/>
        <item m="1" x="449"/>
        <item m="1" x="773"/>
        <item m="1" x="1940"/>
        <item m="1" x="1018"/>
        <item m="1" x="480"/>
        <item m="1" x="467"/>
        <item m="1" x="1986"/>
        <item m="1" x="929"/>
        <item m="1" x="1807"/>
        <item m="1" x="269"/>
        <item m="1" x="1412"/>
        <item m="1" x="415"/>
        <item m="1" x="1033"/>
        <item m="1" x="581"/>
        <item m="1" x="1073"/>
        <item m="1" x="1655"/>
        <item m="1" x="469"/>
        <item m="1" x="1146"/>
        <item m="1" x="152"/>
        <item m="1" x="1902"/>
        <item m="1" x="1783"/>
        <item m="1" x="168"/>
        <item m="1" x="1603"/>
        <item m="1" x="1768"/>
        <item m="1" x="99"/>
        <item m="1" x="1769"/>
        <item m="1" x="273"/>
        <item m="1" x="500"/>
        <item m="1" x="978"/>
        <item m="1" x="1362"/>
        <item m="1" x="45"/>
        <item m="1" x="132"/>
        <item m="1" x="1450"/>
        <item m="1" x="1053"/>
        <item m="1" x="1981"/>
        <item m="1" x="161"/>
        <item m="1" x="1689"/>
        <item m="1" x="775"/>
        <item m="1" x="1893"/>
        <item m="1" x="353"/>
        <item m="1" x="1822"/>
        <item m="1" x="981"/>
        <item m="1" x="1382"/>
        <item m="1" x="765"/>
        <item m="1" x="1354"/>
        <item m="1" x="1260"/>
        <item m="1" x="1631"/>
        <item m="1" x="982"/>
        <item m="1" x="1273"/>
        <item m="1" x="1540"/>
        <item m="1" x="1934"/>
        <item m="1" x="1516"/>
        <item m="1" x="1127"/>
        <item m="1" x="676"/>
        <item m="1" x="1919"/>
        <item m="1" x="1761"/>
        <item m="1" x="1061"/>
        <item m="1" x="1182"/>
        <item m="1" x="1707"/>
        <item m="1" x="854"/>
        <item m="1" x="564"/>
        <item m="1" x="324"/>
        <item m="1" x="366"/>
        <item m="1" x="147"/>
        <item m="1" x="1398"/>
        <item m="1" x="1607"/>
        <item m="1" x="305"/>
        <item m="1" x="17"/>
        <item m="1" x="666"/>
        <item m="1" x="560"/>
        <item m="1" x="175"/>
        <item m="1" x="1552"/>
        <item m="1" x="1184"/>
        <item m="1" x="1562"/>
        <item m="1" x="1100"/>
        <item m="1" x="1581"/>
        <item m="1" x="1047"/>
        <item m="1" x="1856"/>
        <item m="1" x="1475"/>
        <item m="1" x="1758"/>
        <item m="1" x="1125"/>
        <item m="1" x="1851"/>
        <item m="1" x="1966"/>
        <item m="1" x="1777"/>
        <item m="1" x="254"/>
        <item m="1" x="731"/>
        <item m="1" x="806"/>
        <item m="1" x="550"/>
        <item m="1" x="770"/>
        <item m="1" x="1506"/>
        <item m="1" x="1372"/>
        <item m="1" x="97"/>
        <item m="1" x="1453"/>
        <item m="1" x="1251"/>
        <item m="1" x="798"/>
        <item m="1" x="208"/>
        <item m="1" x="886"/>
        <item m="1" x="44"/>
        <item m="1" x="1942"/>
        <item m="1" x="364"/>
        <item m="1" x="969"/>
        <item m="1" x="841"/>
        <item m="1" x="1867"/>
        <item m="1" x="1415"/>
        <item m="1" x="499"/>
        <item m="1" x="429"/>
        <item m="1" x="374"/>
        <item m="1" x="421"/>
        <item m="1" x="530"/>
        <item m="1" x="1810"/>
        <item m="1" x="753"/>
        <item m="1" x="733"/>
        <item m="1" x="617"/>
        <item m="1" x="428"/>
        <item m="1" x="1096"/>
        <item m="1" x="103"/>
        <item m="1" x="53"/>
        <item m="1" x="923"/>
        <item m="1" x="1358"/>
        <item m="1" x="1736"/>
        <item m="1" x="1353"/>
        <item m="1" x="282"/>
        <item m="1" x="489"/>
        <item m="1" x="1285"/>
        <item m="1" x="1322"/>
        <item m="1" x="745"/>
        <item m="1" x="1349"/>
        <item m="1" x="866"/>
        <item m="1" x="767"/>
        <item m="1" x="1821"/>
        <item m="1" x="1109"/>
        <item m="1" x="619"/>
        <item m="1" x="299"/>
        <item m="1" x="1846"/>
        <item m="1" x="1925"/>
        <item m="1" x="81"/>
        <item m="1" x="1021"/>
        <item m="1" x="1197"/>
        <item m="1" x="1428"/>
        <item m="1" x="142"/>
        <item m="1" x="1798"/>
        <item m="1" x="440"/>
        <item m="1" x="64"/>
        <item m="1" x="133"/>
        <item m="1" x="297"/>
        <item m="1" x="393"/>
        <item m="1" x="1013"/>
        <item m="1" x="746"/>
        <item m="1" x="300"/>
        <item m="1" x="878"/>
        <item m="1" x="1225"/>
        <item m="1" x="1387"/>
        <item m="1" x="1513"/>
        <item m="1" x="1434"/>
        <item m="1" x="1249"/>
        <item m="1" x="1069"/>
        <item m="1" x="891"/>
        <item m="1" x="712"/>
        <item m="1" x="536"/>
        <item m="1" x="348"/>
        <item m="1" x="1600"/>
        <item m="1" x="1480"/>
        <item m="1" x="1024"/>
        <item m="1" x="265"/>
        <item m="1" x="1381"/>
        <item m="1" x="1323"/>
        <item m="1" x="1764"/>
        <item m="1" x="1037"/>
        <item m="1" x="1668"/>
        <item m="1" x="562"/>
        <item m="1" x="905"/>
        <item m="1" x="960"/>
        <item m="1" x="1741"/>
        <item m="1" x="874"/>
        <item m="1" x="916"/>
        <item m="1" x="821"/>
        <item m="1" x="771"/>
        <item m="1" x="412"/>
        <item m="1" x="1001"/>
        <item m="1" x="1246"/>
        <item m="1" x="1208"/>
        <item m="1" x="1716"/>
        <item m="1" x="743"/>
        <item m="1" x="398"/>
        <item m="1" x="1923"/>
        <item m="1" x="1640"/>
        <item m="1" x="748"/>
        <item m="1" x="221"/>
        <item m="1" x="601"/>
        <item m="1" x="391"/>
        <item m="1" x="139"/>
        <item m="1" x="1926"/>
        <item m="1" x="1174"/>
        <item m="1" x="1832"/>
        <item m="1" x="1464"/>
        <item m="1" x="1156"/>
        <item m="1" x="1734"/>
        <item m="1" x="1917"/>
        <item m="1" x="1228"/>
        <item m="1" x="266"/>
        <item m="1" x="502"/>
        <item m="1" x="1490"/>
        <item m="1" x="405"/>
        <item m="1" x="934"/>
        <item m="1" x="417"/>
        <item m="1" x="1865"/>
        <item m="1" x="13"/>
        <item m="1" x="475"/>
        <item m="1" x="1660"/>
        <item m="1" x="433"/>
        <item m="1" x="1583"/>
        <item m="1" x="804"/>
        <item m="1" x="1971"/>
        <item m="1" x="1698"/>
        <item m="1" x="868"/>
        <item m="1" x="218"/>
        <item m="1" x="1348"/>
        <item m="1" x="1206"/>
        <item m="1" x="1559"/>
        <item m="1" x="134"/>
        <item m="1" x="1943"/>
        <item m="1" x="71"/>
        <item m="1" x="1008"/>
        <item m="1" x="972"/>
        <item m="1" x="361"/>
        <item m="1" x="293"/>
        <item m="1" x="1938"/>
        <item m="1" x="1364"/>
        <item m="1" x="258"/>
        <item m="1" x="1676"/>
        <item m="1" x="566"/>
        <item m="1" x="634"/>
        <item m="1" x="664"/>
        <item m="1" x="547"/>
        <item m="1" x="1497"/>
        <item m="1" x="1132"/>
        <item m="1" x="1015"/>
        <item m="1" x="1005"/>
        <item m="1" x="143"/>
        <item m="1" x="1303"/>
        <item m="1" x="1849"/>
        <item m="1" x="1112"/>
        <item m="1" x="1809"/>
        <item m="1" x="760"/>
        <item m="1" x="1057"/>
        <item m="1" x="1554"/>
        <item m="1" x="1568"/>
        <item m="1" x="102"/>
        <item m="1" x="889"/>
        <item m="1" x="1814"/>
        <item m="1" x="1657"/>
        <item m="1" x="1128"/>
        <item m="1" x="403"/>
        <item m="1" x="1488"/>
        <item m="1" x="1297"/>
        <item m="1" x="113"/>
        <item m="1" x="580"/>
        <item m="1" x="1220"/>
        <item m="1" x="1729"/>
        <item m="1" x="169"/>
        <item m="1" x="734"/>
        <item m="1" x="1848"/>
        <item m="1" x="1437"/>
        <item m="1" x="1446"/>
        <item m="1" x="1110"/>
        <item m="1" x="1847"/>
        <item m="1" x="987"/>
        <item m="1" x="1454"/>
        <item m="1" x="1292"/>
        <item m="1" x="106"/>
        <item m="1" x="159"/>
        <item m="1" x="307"/>
        <item m="1" x="1396"/>
        <item m="1" x="863"/>
        <item m="1" x="589"/>
        <item m="1" x="1367"/>
        <item m="1" x="911"/>
        <item m="1" x="1277"/>
        <item m="1" x="1830"/>
        <item m="1" x="1746"/>
        <item m="1" x="1962"/>
        <item m="1" x="93"/>
        <item m="1" x="523"/>
        <item m="1" x="1346"/>
        <item m="1" x="82"/>
        <item m="1" x="392"/>
        <item m="1" x="1188"/>
        <item m="1" x="788"/>
        <item m="1" x="686"/>
        <item m="1" x="1828"/>
        <item m="1" x="284"/>
        <item m="1" x="259"/>
        <item m="1" x="975"/>
        <item m="1" x="602"/>
        <item m="1" x="406"/>
        <item m="1" x="604"/>
        <item m="1" x="1573"/>
        <item m="1" x="1774"/>
        <item m="1" x="1493"/>
        <item m="1" x="1279"/>
        <item m="1" x="387"/>
        <item m="1" x="1426"/>
        <item m="1" x="74"/>
        <item m="1" x="164"/>
        <item m="1" x="659"/>
        <item m="1" x="1924"/>
        <item m="1" x="1486"/>
        <item m="1" x="1202"/>
        <item m="1" x="835"/>
        <item m="1" x="1035"/>
        <item m="1" x="735"/>
        <item m="1" x="326"/>
        <item m="1" x="508"/>
        <item m="1" x="1159"/>
        <item m="1" x="42"/>
        <item m="1" x="569"/>
        <item m="1" x="563"/>
        <item m="1" x="1404"/>
        <item m="1" x="1123"/>
        <item m="1" x="939"/>
        <item m="1" x="900"/>
        <item m="1" x="1427"/>
        <item m="1" x="225"/>
        <item m="1" x="389"/>
        <item m="1" x="1462"/>
        <item m="1" x="1093"/>
        <item m="1" x="1661"/>
        <item m="1" x="621"/>
        <item m="1" x="1430"/>
        <item m="1" x="1958"/>
        <item m="1" x="1342"/>
        <item m="1" x="747"/>
        <item m="1" x="1165"/>
        <item m="1" x="1742"/>
        <item m="1" x="1136"/>
        <item m="1" x="295"/>
        <item m="1" x="1141"/>
        <item m="1" x="198"/>
        <item m="1" x="1274"/>
        <item m="1" x="463"/>
        <item m="1" x="1363"/>
        <item m="1" x="977"/>
        <item m="1" x="537"/>
        <item m="1" x="1806"/>
        <item m="1" x="197"/>
        <item m="1" x="1321"/>
        <item m="1" x="611"/>
        <item m="1" x="901"/>
        <item m="1" x="462"/>
        <item m="1" x="555"/>
        <item m="1" x="1804"/>
        <item m="1" x="937"/>
        <item m="1" x="1912"/>
        <item m="1" x="153"/>
        <item m="1" x="1888"/>
        <item m="1" x="1350"/>
        <item m="1" x="1696"/>
        <item m="1" x="1191"/>
        <item m="1" x="1469"/>
        <item m="1" x="875"/>
        <item m="1" x="917"/>
        <item m="1" x="1649"/>
        <item m="1" x="1025"/>
        <item m="1" x="88"/>
        <item m="1" x="1060"/>
        <item m="1" x="1613"/>
        <item m="1" x="1448"/>
        <item m="1" x="255"/>
        <item m="1" x="1245"/>
        <item m="1" x="1816"/>
        <item m="1" x="751"/>
        <item m="1" x="1461"/>
        <item m="1" x="1556"/>
        <item m="1" x="1872"/>
        <item m="1" x="1066"/>
        <item m="1" x="1820"/>
        <item m="1" x="538"/>
        <item m="1" x="1483"/>
        <item m="1" x="1871"/>
        <item m="1" x="1654"/>
        <item m="1" x="1599"/>
        <item m="1" x="1431"/>
        <item m="1" x="885"/>
        <item m="1" x="1014"/>
        <item m="1" x="1332"/>
        <item m="1" x="1551"/>
        <item m="1" x="872"/>
        <item m="1" x="1072"/>
        <item m="1" x="548"/>
        <item m="1" x="490"/>
        <item m="1" x="1642"/>
        <item m="1" x="1255"/>
        <item m="1" x="1713"/>
        <item m="1" x="1909"/>
        <item m="1" x="1964"/>
        <item m="1" x="647"/>
        <item m="1" x="1570"/>
        <item m="1" x="1145"/>
        <item m="1" x="586"/>
        <item m="1" x="1931"/>
        <item m="1" x="486"/>
        <item m="1" x="1471"/>
        <item m="1" x="689"/>
        <item m="1" x="1619"/>
        <item m="1" x="222"/>
        <item m="1" x="1659"/>
        <item m="1" x="195"/>
        <item m="1" x="963"/>
        <item m="1" x="1422"/>
        <item m="1" x="276"/>
        <item m="1" x="1903"/>
        <item m="1" x="654"/>
        <item m="1" x="612"/>
        <item m="1" x="1284"/>
        <item m="1" x="1765"/>
        <item m="1" x="1536"/>
        <item m="1" x="674"/>
        <item m="1" x="1059"/>
        <item m="1" x="331"/>
        <item m="1" x="754"/>
        <item m="1" x="1403"/>
        <item m="1" x="217"/>
        <item m="1" x="56"/>
        <item m="1" x="1946"/>
        <item m="1" x="325"/>
        <item m="1" x="67"/>
        <item m="1" x="6"/>
        <item m="1" x="358"/>
        <item m="1" x="315"/>
        <item m="1" x="1652"/>
        <item m="1" x="723"/>
        <item m="1" x="394"/>
        <item m="1" x="117"/>
        <item m="1" x="424"/>
        <item m="1" x="551"/>
        <item m="1" x="793"/>
        <item m="1" x="1545"/>
        <item m="1" x="629"/>
        <item m="1" x="1020"/>
        <item m="1" x="787"/>
        <item m="1" x="1004"/>
        <item m="1" x="1505"/>
        <item m="1" x="837"/>
        <item m="1" x="838"/>
        <item m="1" x="514"/>
        <item m="1" x="718"/>
        <item m="1" x="264"/>
        <item m="1" x="357"/>
        <item m="1" x="1665"/>
        <item m="1" x="192"/>
        <item m="1" x="444"/>
        <item m="1" x="1168"/>
        <item m="1" x="8"/>
        <item m="1" x="1098"/>
        <item m="1" x="651"/>
        <item m="1" x="240"/>
        <item m="1" x="1744"/>
        <item m="1" x="1351"/>
        <item m="1" x="24"/>
        <item m="1" x="245"/>
        <item m="1" x="1843"/>
        <item m="1" x="1553"/>
        <item m="1" x="1385"/>
        <item m="1" x="1539"/>
        <item m="1" x="892"/>
        <item m="1" x="714"/>
        <item m="1" x="1226"/>
        <item m="1" x="1842"/>
        <item m="1" x="267"/>
        <item m="1" x="984"/>
        <item m="1" x="1299"/>
        <item m="1" x="1124"/>
        <item m="1" x="943"/>
        <item m="1" x="752"/>
        <item m="1" x="23"/>
        <item m="1" x="1684"/>
        <item m="1" x="1147"/>
        <item m="1" x="779"/>
        <item m="1" x="938"/>
        <item m="1" x="749"/>
        <item m="1" x="1904"/>
        <item m="1" x="1759"/>
        <item m="1" x="1601"/>
        <item m="1" x="84"/>
        <item m="1" x="1898"/>
        <item m="1" x="1590"/>
        <item m="1" x="1873"/>
        <item m="1" x="1728"/>
        <item m="1" x="438"/>
        <item m="1" x="1787"/>
        <item m="1" x="1754"/>
        <item m="1" x="1638"/>
        <item m="1" x="531"/>
        <item m="1" x="774"/>
        <item m="1" x="1726"/>
        <item m="1" x="1432"/>
        <item m="1" x="819"/>
        <item m="1" x="1968"/>
        <item m="1" x="1393"/>
        <item m="1" x="1023"/>
        <item m="1" x="1210"/>
        <item m="1" x="1217"/>
        <item m="1" x="1747"/>
        <item m="1" x="1211"/>
        <item m="1" x="750"/>
        <item m="1" x="720"/>
        <item m="1" x="930"/>
        <item m="1" x="314"/>
        <item m="1" x="422"/>
        <item m="1" x="464"/>
        <item m="1" x="1880"/>
        <item m="1" x="1345"/>
        <item m="1" x="454"/>
        <item m="1" x="1006"/>
        <item m="1" x="381"/>
        <item m="1" x="777"/>
        <item m="1" x="1074"/>
        <item m="1" x="1062"/>
        <item m="1" x="1913"/>
        <item m="1" x="1569"/>
        <item m="1" x="52"/>
        <item m="1" x="704"/>
        <item m="1" x="1034"/>
        <item m="1" x="701"/>
        <item m="1" x="1451"/>
        <item m="1" x="1102"/>
        <item m="1" x="460"/>
        <item m="1" x="437"/>
        <item m="1" x="363"/>
        <item m="1" x="1838"/>
        <item m="1" x="1105"/>
        <item m="1" x="1975"/>
        <item m="1" x="1369"/>
        <item m="1" x="72"/>
        <item m="1" x="446"/>
        <item m="1" x="1287"/>
        <item m="1" x="138"/>
        <item m="1" x="1844"/>
        <item m="1" x="1419"/>
        <item m="1" x="203"/>
        <item m="1" x="802"/>
        <item m="1" x="188"/>
        <item m="1" x="677"/>
        <item m="1" x="1378"/>
        <item m="1" x="528"/>
        <item m="1" x="1685"/>
        <item m="1" x="1166"/>
        <item m="1" x="1330"/>
        <item m="1" x="401"/>
        <item m="1" x="209"/>
        <item m="1" x="1027"/>
        <item m="1" x="241"/>
        <item m="1" x="128"/>
        <item m="1" x="1882"/>
        <item m="1" x="1294"/>
        <item m="1" x="1113"/>
        <item m="1" x="292"/>
        <item m="1" x="1763"/>
        <item m="1" x="1377"/>
        <item m="1" x="565"/>
        <item m="1" x="639"/>
        <item m="1" x="906"/>
        <item m="1" x="999"/>
        <item m="1" x="576"/>
        <item m="1" x="1068"/>
        <item m="1" x="395"/>
        <item m="1" x="526"/>
        <item m="1" x="262"/>
        <item m="1" x="215"/>
        <item m="1" x="691"/>
        <item m="1" x="738"/>
        <item m="1" x="75"/>
        <item m="1" x="1771"/>
        <item m="1" x="214"/>
        <item m="1" x="1724"/>
        <item m="1" x="1355"/>
        <item m="1" x="607"/>
        <item m="1" x="1574"/>
        <item m="1" x="1178"/>
        <item m="1" x="114"/>
        <item m="1" x="1719"/>
        <item m="1" x="253"/>
        <item m="1" x="1985"/>
        <item m="1" x="436"/>
        <item m="1" x="726"/>
        <item m="1" x="1252"/>
        <item m="1" x="441"/>
        <item m="1" x="1302"/>
        <item m="1" x="950"/>
        <item m="1" x="1278"/>
        <item m="1" x="1235"/>
        <item m="1" x="561"/>
        <item m="1" x="697"/>
        <item m="1" x="1199"/>
        <item m="1" x="377"/>
        <item m="1" x="1373"/>
        <item m="1" x="567"/>
        <item m="1" x="1215"/>
        <item m="1" x="1514"/>
        <item m="1" x="853"/>
        <item m="1" x="1785"/>
        <item m="1" x="1711"/>
        <item m="1" x="653"/>
        <item m="1" x="910"/>
        <item m="1" x="349"/>
        <item m="1" x="1641"/>
        <item m="1" x="287"/>
        <item m="1" x="1118"/>
        <item m="1" x="583"/>
        <item m="1" x="742"/>
        <item m="1" x="83"/>
        <item m="1" x="633"/>
        <item m="1" x="1084"/>
        <item m="1" x="1259"/>
        <item m="1" x="183"/>
        <item m="1" x="1289"/>
        <item m="1" x="1841"/>
        <item m="1" x="1267"/>
        <item m="1" x="1827"/>
        <item m="1" x="1658"/>
        <item m="1" x="967"/>
        <item m="1" x="1718"/>
        <item m="1" x="834"/>
        <item m="1" x="985"/>
        <item m="1" x="1310"/>
        <item m="1" x="1609"/>
        <item m="1" x="1319"/>
        <item m="1" x="172"/>
        <item m="1" x="63"/>
        <item m="1" x="1388"/>
        <item m="1" x="333"/>
        <item m="1" x="1406"/>
        <item m="1" x="140"/>
        <item m="1" x="150"/>
        <item m="1" x="1309"/>
        <item m="1" x="27"/>
        <item m="1" x="271"/>
        <item m="1" x="873"/>
        <item m="1" x="479"/>
        <item m="1" x="933"/>
        <item m="1" x="1280"/>
        <item m="1" x="1085"/>
        <item m="1" x="903"/>
        <item m="1" x="922"/>
        <item m="1" x="1666"/>
        <item m="1" x="1767"/>
        <item m="1" x="673"/>
        <item m="1" x="1130"/>
        <item m="1" x="382"/>
        <item m="1" x="628"/>
        <item m="1" x="958"/>
        <item m="1" x="1526"/>
        <item m="1" x="756"/>
        <item m="1" x="1359"/>
        <item m="1" x="698"/>
        <item m="1" x="956"/>
        <item m="1" x="1929"/>
        <item m="1" x="1974"/>
        <item m="1" x="450"/>
        <item m="1" x="815"/>
        <item m="1" x="1899"/>
        <item m="1" x="1065"/>
        <item m="1" x="1565"/>
        <item m="1" x="312"/>
        <item m="1" x="498"/>
        <item m="1" x="58"/>
        <item m="1" x="457"/>
        <item m="1" x="313"/>
        <item m="1" x="1510"/>
        <item m="1" x="1067"/>
        <item m="1" x="1500"/>
        <item m="1" x="413"/>
        <item m="1" x="736"/>
        <item m="1" x="1987"/>
        <item m="1" x="1099"/>
        <item m="1" x="846"/>
        <item m="1" x="504"/>
        <item m="1" x="1508"/>
        <item m="1" x="962"/>
        <item m="1" x="318"/>
        <item m="1" x="1725"/>
        <item m="1" x="91"/>
        <item m="1" x="690"/>
        <item m="1" x="283"/>
        <item m="1" x="1164"/>
        <item m="1" x="30"/>
        <item m="1" x="334"/>
        <item m="1" x="1011"/>
        <item m="1" x="876"/>
        <item x="0"/>
        <item m="1" x="493"/>
        <item m="1" x="1405"/>
        <item m="1" x="1441"/>
        <item m="1" x="506"/>
        <item m="1" x="1352"/>
        <item m="1" x="1438"/>
        <item m="1" x="799"/>
        <item m="1" x="1961"/>
        <item m="1" x="367"/>
        <item m="1" x="1708"/>
        <item m="1" x="525"/>
        <item m="1" x="1039"/>
        <item m="1" x="1116"/>
        <item m="1" x="1050"/>
        <item m="1" x="1944"/>
        <item m="1" x="408"/>
        <item m="1" x="407"/>
        <item m="1" x="33"/>
        <item m="1" x="1760"/>
        <item m="1" x="949"/>
        <item m="1" x="1230"/>
        <item m="1" x="1371"/>
        <item m="1" x="1304"/>
        <item m="1" x="509"/>
        <item m="1" x="1119"/>
        <item m="1" x="1376"/>
        <item m="1" x="1617"/>
        <item m="1" x="1750"/>
        <item m="1" x="920"/>
        <item m="1" x="1587"/>
        <item m="1" x="1409"/>
        <item m="1" x="1043"/>
        <item m="1" x="1481"/>
        <item m="1" x="1494"/>
        <item m="1" x="32"/>
        <item m="1" x="1365"/>
        <item m="1" x="109"/>
        <item m="1" x="1030"/>
        <item m="1" x="1281"/>
        <item m="1" x="243"/>
        <item m="1" x="1515"/>
        <item m="1" x="618"/>
        <item m="1" x="1241"/>
        <item m="1" x="1824"/>
        <item m="1" x="1152"/>
        <item m="1" x="341"/>
        <item m="1" x="1423"/>
        <item m="1" x="73"/>
        <item m="1" x="592"/>
        <item m="1" x="1250"/>
        <item m="1" x="125"/>
        <item m="1" x="1466"/>
        <item m="1" x="1801"/>
        <item m="1" x="1691"/>
        <item m="1" x="665"/>
        <item m="1" x="954"/>
        <item m="1" x="1390"/>
        <item m="1" x="418"/>
        <item m="1" x="1242"/>
        <item m="1" x="855"/>
        <item m="1" x="144"/>
        <item m="1" x="399"/>
        <item m="1" x="1519"/>
        <item m="1" x="329"/>
        <item m="1" x="675"/>
        <item m="1" x="1447"/>
        <item m="1" x="1625"/>
        <item m="1" x="983"/>
        <item m="1" x="1194"/>
        <item m="1" x="101"/>
        <item m="1" x="1167"/>
        <item m="1" x="986"/>
        <item m="1" x="1984"/>
        <item m="1" x="226"/>
        <item m="1" x="543"/>
        <item m="1" x="1945"/>
        <item m="1" x="1081"/>
        <item m="1" x="822"/>
        <item m="1" x="135"/>
        <item m="1" x="761"/>
        <item m="1" x="794"/>
        <item m="1" x="1232"/>
        <item m="1" x="1343"/>
        <item m="1" x="1496"/>
        <item m="1" x="1813"/>
        <item m="1" x="1051"/>
        <item m="1" x="935"/>
        <item m="1" x="1717"/>
        <item m="1" x="585"/>
        <item m="1" x="409"/>
        <item m="1" x="558"/>
        <item m="1" x="520"/>
        <item m="1" x="1327"/>
        <item m="1" x="833"/>
        <item m="1" x="1344"/>
        <item m="1" x="995"/>
        <item m="1" x="1525"/>
        <item m="1" x="478"/>
        <item m="1" x="1227"/>
        <item m="1" x="1502"/>
        <item m="1" x="1595"/>
        <item m="1" x="1606"/>
        <item m="1" x="1633"/>
        <item m="1" x="1624"/>
        <item m="1" x="370"/>
        <item m="1" x="692"/>
        <item m="1" x="384"/>
        <item m="1" x="1957"/>
        <item m="1" x="1126"/>
        <item m="1" x="141"/>
        <item m="1" x="1029"/>
        <item m="1" x="1612"/>
        <item m="1" x="1224"/>
        <item m="1" x="430"/>
        <item m="1" x="1193"/>
        <item m="1" x="1947"/>
        <item m="1" x="784"/>
        <item m="1" x="1529"/>
        <item m="1" x="1256"/>
        <item m="1" x="649"/>
        <item m="1" x="459"/>
        <item m="1" x="1863"/>
        <item m="1" x="1418"/>
        <item m="1" x="330"/>
        <item m="1" x="279"/>
        <item m="1" x="1192"/>
        <item m="1" x="1045"/>
        <item m="1" x="43"/>
        <item m="1" x="1954"/>
        <item m="1" x="1380"/>
        <item m="1" x="1982"/>
        <item m="1" x="1543"/>
        <item m="1" x="1563"/>
        <item m="1" x="899"/>
        <item m="1" x="397"/>
        <item m="1" x="1834"/>
        <item m="1" x="1835"/>
        <item m="1" x="1976"/>
        <item m="1" x="178"/>
        <item m="1" x="31"/>
        <item m="1" x="354"/>
        <item m="1" x="1485"/>
        <item m="1" x="1429"/>
        <item m="1" x="1171"/>
        <item m="1" x="1010"/>
        <item m="1" x="919"/>
        <item m="1" x="1058"/>
        <item m="1" x="347"/>
        <item m="1" x="820"/>
        <item m="1" x="1361"/>
        <item m="1" x="1003"/>
        <item m="1" x="1257"/>
        <item m="1" x="191"/>
        <item m="1" x="1706"/>
        <item m="1" x="216"/>
        <item m="1" x="1715"/>
        <item m="1" x="1812"/>
        <item m="1" x="827"/>
        <item m="1" x="1117"/>
        <item m="1" x="668"/>
        <item m="1" x="19"/>
        <item m="1" x="721"/>
        <item m="1" x="1973"/>
        <item m="1" x="1605"/>
        <item m="1" x="1420"/>
        <item m="1" x="37"/>
        <item m="1" x="1139"/>
        <item m="1" x="1501"/>
        <item m="1" x="1656"/>
        <item m="1" x="1456"/>
        <item m="1" x="847"/>
        <item m="1" x="360"/>
        <item m="1" x="1026"/>
        <item m="1" x="705"/>
        <item m="1" x="655"/>
        <item m="1" x="286"/>
        <item m="1" x="680"/>
        <item m="1" x="1970"/>
        <item m="1" x="546"/>
        <item m="1" x="1692"/>
        <item m="1" x="1070"/>
        <item m="1" x="1107"/>
        <item m="1" x="1858"/>
        <item m="1" x="1530"/>
        <item m="1" x="1142"/>
        <item m="1" x="644"/>
        <item m="1" x="685"/>
        <item m="1" x="296"/>
        <item m="1" x="388"/>
        <item m="1" x="62"/>
        <item m="1" x="926"/>
        <item m="1" x="1296"/>
        <item m="1" x="1560"/>
        <item m="1" x="1693"/>
        <item m="1" x="924"/>
        <item m="1" x="1770"/>
        <item m="1" x="145"/>
        <item m="1" x="1683"/>
        <item m="1" x="610"/>
        <item m="1" x="187"/>
        <item m="1" x="1950"/>
        <item m="1" x="722"/>
        <item m="1" x="1216"/>
        <item m="1" x="155"/>
        <item m="1" x="376"/>
        <item m="1" x="25"/>
        <item m="1" x="1780"/>
        <item m="1" x="1263"/>
        <item m="1" x="1315"/>
        <item m="1" x="1857"/>
        <item m="1" x="204"/>
        <item m="1" x="59"/>
        <item m="1" x="1932"/>
        <item m="1" x="661"/>
        <item m="1" x="1487"/>
        <item m="1" x="1682"/>
        <item m="1" x="1337"/>
        <item m="1" x="1207"/>
        <item m="1" x="1795"/>
        <item m="1" x="1234"/>
        <item m="1" x="1733"/>
        <item m="1" x="1080"/>
        <item m="1" x="1082"/>
        <item m="1" x="852"/>
        <item m="1" x="1677"/>
        <item m="1" x="1518"/>
        <item m="1" x="545"/>
        <item m="1" x="1585"/>
        <item m="1" x="49"/>
        <item m="1" x="860"/>
        <item m="1" x="1198"/>
        <item m="1" x="505"/>
        <item m="1" x="346"/>
        <item m="1" x="1836"/>
        <item m="1" x="1805"/>
        <item m="1" x="1140"/>
        <item m="1" x="309"/>
        <item m="1" x="871"/>
        <item m="1" x="212"/>
        <item m="1" x="77"/>
        <item m="1" x="251"/>
        <item m="1" x="667"/>
        <item m="1" x="375"/>
        <item m="1" x="1800"/>
        <item m="1" x="497"/>
        <item m="1" x="955"/>
        <item m="1" x="1389"/>
        <item m="1" x="483"/>
        <item m="1" x="988"/>
        <item m="1" x="807"/>
        <item m="1" x="1571"/>
        <item m="1" x="642"/>
        <item m="1" x="1407"/>
        <item m="1" x="952"/>
        <item m="1" x="732"/>
        <item m="1" x="219"/>
        <item m="1" x="342"/>
        <item m="1" x="227"/>
        <item m="1" x="1253"/>
        <item m="1" x="1498"/>
        <item m="1" x="533"/>
        <item m="1" x="584"/>
        <item m="1" x="228"/>
        <item m="1" x="1413"/>
        <item m="1" x="529"/>
        <item m="1" x="372"/>
        <item m="1" x="1507"/>
        <item m="1" x="882"/>
        <item m="1" x="1200"/>
        <item m="1" x="1022"/>
        <item m="1" x="492"/>
        <item m="1" x="1261"/>
        <item m="1" x="1694"/>
        <item m="1" x="643"/>
        <item m="1" x="156"/>
        <item m="1" x="118"/>
        <item m="1" x="888"/>
        <item m="1" x="1628"/>
        <item m="1" x="68"/>
        <item m="1" x="858"/>
        <item m="1" x="1054"/>
        <item m="1" x="766"/>
        <item m="1" x="1558"/>
        <item m="1" x="1862"/>
        <item m="1" x="702"/>
        <item m="1" x="26"/>
        <item m="1" x="700"/>
        <item m="1" x="1876"/>
        <item m="1" x="46"/>
        <item m="1" x="1817"/>
        <item m="1" x="980"/>
        <item m="1" x="1672"/>
        <item m="1" x="1541"/>
        <item m="1" x="1937"/>
        <item m="1" x="1016"/>
        <item m="1" x="1927"/>
        <item m="1" x="595"/>
        <item m="1" x="768"/>
        <item m="1" x="597"/>
        <item m="1" x="1089"/>
        <item m="1" x="177"/>
        <item m="1" x="22"/>
        <item m="1" x="1839"/>
        <item m="1" x="322"/>
        <item m="1" x="1669"/>
        <item m="1" x="1121"/>
        <item m="1" x="20"/>
        <item m="1" x="976"/>
        <item m="1" x="1092"/>
        <item m="1" x="130"/>
        <item m="1" x="451"/>
        <item m="1" x="1784"/>
        <item m="1" x="1397"/>
        <item m="1" x="1611"/>
        <item m="1" x="1948"/>
        <item m="1" x="1410"/>
        <item m="1" x="1531"/>
        <item m="1" x="1983"/>
        <item m="1" x="477"/>
        <item m="1" x="1458"/>
        <item m="1" x="116"/>
        <item m="1" x="859"/>
        <item m="1" x="1906"/>
        <item m="1" x="1175"/>
        <item m="1" x="95"/>
        <item m="1" x="810"/>
        <item m="1" x="383"/>
        <item m="1" x="1697"/>
        <item m="1" x="973"/>
        <item m="1" x="1468"/>
        <item m="1" x="715"/>
        <item m="1" x="202"/>
        <item m="1" x="524"/>
        <item m="1" x="1826"/>
        <item m="1" x="662"/>
        <item m="1" x="351"/>
        <item m="1" x="1577"/>
        <item m="1" x="1101"/>
        <item m="1" x="1681"/>
        <item m="1" x="1895"/>
        <item m="1" x="1219"/>
        <item m="1" x="1122"/>
        <item m="1" x="1333"/>
        <item m="1" x="591"/>
        <item m="1" x="682"/>
        <item m="1" x="238"/>
        <item m="1" x="1859"/>
        <item m="1" x="1879"/>
        <item m="1" x="1153"/>
        <item m="1" x="513"/>
        <item m="1" x="379"/>
        <item m="1" x="1298"/>
        <item m="1" x="69"/>
        <item m="1" x="1544"/>
        <item m="1" x="594"/>
        <item m="1" x="1046"/>
        <item m="1" x="10"/>
        <item m="1" x="521"/>
        <item m="1" x="170"/>
        <item m="1" x="1745"/>
        <item m="1" x="224"/>
        <item m="1" x="740"/>
        <item m="1" x="1360"/>
        <item m="1" x="173"/>
        <item m="1" x="1905"/>
        <item m="1" x="317"/>
        <item m="1" x="727"/>
        <item m="1" x="501"/>
        <item m="1" x="148"/>
        <item m="1" x="323"/>
        <item m="1" x="1417"/>
        <item m="1" x="38"/>
        <item m="1" x="1874"/>
        <item m="1" x="1442"/>
        <item m="1" x="466"/>
        <item m="1" x="1808"/>
        <item m="1" x="1720"/>
        <item m="1" x="636"/>
        <item m="1" x="179"/>
        <item m="1" x="1201"/>
        <item m="1" x="7"/>
        <item t="default"/>
      </items>
    </pivotField>
    <pivotField compact="0" outline="0" showAll="0"/>
    <pivotField compact="0" outline="0" showAll="0"/>
    <pivotField axis="axisRow" compact="0" outline="0" showAll="0" sortType="descending" defaultSubtotal="0">
      <items count="1502">
        <item m="1" x="1204"/>
        <item m="1" x="206"/>
        <item m="1" x="1388"/>
        <item m="1" x="782"/>
        <item m="1" x="1013"/>
        <item m="1" x="893"/>
        <item m="1" x="1461"/>
        <item m="1" x="649"/>
        <item m="1" x="771"/>
        <item m="1" x="334"/>
        <item m="1" x="1106"/>
        <item m="1" x="1166"/>
        <item m="1" x="838"/>
        <item m="1" x="1468"/>
        <item m="1" x="1263"/>
        <item m="1" x="1220"/>
        <item m="1" x="1097"/>
        <item m="1" x="820"/>
        <item m="1" x="165"/>
        <item m="1" x="533"/>
        <item m="1" x="1184"/>
        <item m="1" x="1195"/>
        <item m="1" x="995"/>
        <item m="1" x="493"/>
        <item m="1" x="1368"/>
        <item m="1" x="1176"/>
        <item m="1" x="136"/>
        <item m="1" x="1258"/>
        <item m="1" x="644"/>
        <item m="1" x="642"/>
        <item m="1" x="1260"/>
        <item m="1" x="604"/>
        <item m="1" x="34"/>
        <item m="1" x="681"/>
        <item m="1" x="372"/>
        <item m="1" x="972"/>
        <item m="1" x="1498"/>
        <item m="1" x="412"/>
        <item m="1" x="1178"/>
        <item m="1" x="1278"/>
        <item m="1" x="1391"/>
        <item m="1" x="1246"/>
        <item m="1" x="490"/>
        <item m="1" x="519"/>
        <item m="1" x="520"/>
        <item m="1" x="986"/>
        <item m="1" x="319"/>
        <item m="1" x="1244"/>
        <item m="1" x="697"/>
        <item m="1" x="763"/>
        <item m="1" x="1076"/>
        <item m="1" x="733"/>
        <item m="1" x="457"/>
        <item m="1" x="1070"/>
        <item m="1" x="132"/>
        <item m="1" x="626"/>
        <item m="1" x="1348"/>
        <item m="1" x="167"/>
        <item m="1" x="204"/>
        <item m="1" x="716"/>
        <item m="1" x="1145"/>
        <item m="1" x="516"/>
        <item m="1" x="1190"/>
        <item m="1" x="769"/>
        <item m="1" x="822"/>
        <item m="1" x="1214"/>
        <item m="1" x="984"/>
        <item m="1" x="1215"/>
        <item m="1" x="683"/>
        <item m="1" x="401"/>
        <item m="1" x="9"/>
        <item m="1" x="754"/>
        <item m="1" x="1268"/>
        <item m="1" x="355"/>
        <item m="1" x="841"/>
        <item m="1" x="975"/>
        <item m="1" x="5"/>
        <item m="1" x="896"/>
        <item m="1" x="262"/>
        <item m="1" x="685"/>
        <item m="1" x="263"/>
        <item m="1" x="482"/>
        <item m="1" x="1234"/>
        <item m="1" x="552"/>
        <item m="1" x="463"/>
        <item m="1" x="1483"/>
        <item m="1" x="499"/>
        <item m="1" x="821"/>
        <item m="1" x="1179"/>
        <item m="1" x="574"/>
        <item m="1" x="210"/>
        <item m="1" x="213"/>
        <item m="1" x="432"/>
        <item m="1" x="1124"/>
        <item m="1" x="1017"/>
        <item m="1" x="720"/>
        <item m="1" x="1024"/>
        <item m="1" x="1334"/>
        <item m="1" x="800"/>
        <item m="1" x="1256"/>
        <item m="1" x="385"/>
        <item m="1" x="370"/>
        <item m="1" x="1344"/>
        <item m="1" x="96"/>
        <item m="1" x="767"/>
        <item m="1" x="261"/>
        <item m="1" x="731"/>
        <item m="1" x="541"/>
        <item m="1" x="566"/>
        <item m="1" x="166"/>
        <item m="1" x="830"/>
        <item m="1" x="1401"/>
        <item m="1" x="827"/>
        <item m="1" x="395"/>
        <item m="1" x="65"/>
        <item m="1" x="1450"/>
        <item m="1" x="460"/>
        <item m="1" x="91"/>
        <item m="1" x="740"/>
        <item m="1" x="542"/>
        <item m="1" x="215"/>
        <item m="1" x="2"/>
        <item m="1" x="63"/>
        <item m="1" x="1053"/>
        <item m="1" x="1054"/>
        <item m="1" x="1055"/>
        <item m="1" x="70"/>
        <item m="1" x="1057"/>
        <item m="1" x="885"/>
        <item m="1" x="1058"/>
        <item m="1" x="1059"/>
        <item m="1" x="1060"/>
        <item m="1" x="1308"/>
        <item m="1" x="655"/>
        <item m="1" x="360"/>
        <item m="1" x="1063"/>
        <item m="1" x="1064"/>
        <item m="1" x="417"/>
        <item m="1" x="770"/>
        <item m="1" x="948"/>
        <item m="1" x="629"/>
        <item m="1" x="1001"/>
        <item m="1" x="1193"/>
        <item m="1" x="578"/>
        <item m="1" x="290"/>
        <item m="1" x="62"/>
        <item m="1" x="877"/>
        <item m="1" x="25"/>
        <item m="1" x="1125"/>
        <item m="1" x="899"/>
        <item m="1" x="1426"/>
        <item m="1" x="1448"/>
        <item m="1" x="700"/>
        <item m="1" x="466"/>
        <item m="1" x="627"/>
        <item m="1" x="489"/>
        <item m="1" x="1363"/>
        <item m="1" x="601"/>
        <item m="1" x="76"/>
        <item m="1" x="162"/>
        <item m="1" x="660"/>
        <item m="1" x="915"/>
        <item m="1" x="1101"/>
        <item m="1" x="111"/>
        <item m="1" x="423"/>
        <item m="1" x="751"/>
        <item m="1" x="1439"/>
        <item m="1" x="1113"/>
        <item m="1" x="616"/>
        <item m="1" x="973"/>
        <item m="1" x="786"/>
        <item m="1" x="156"/>
        <item m="1" x="1122"/>
        <item m="1" x="140"/>
        <item m="1" x="1238"/>
        <item m="1" x="776"/>
        <item m="1" x="1266"/>
        <item m="1" x="1379"/>
        <item m="1" x="84"/>
        <item m="1" x="753"/>
        <item m="1" x="1095"/>
        <item m="1" x="58"/>
        <item m="1" x="208"/>
        <item m="1" x="1031"/>
        <item m="1" x="1032"/>
        <item m="1" x="1262"/>
        <item m="1" x="855"/>
        <item m="1" x="1272"/>
        <item m="1" x="1415"/>
        <item m="1" x="1102"/>
        <item m="1" x="587"/>
        <item m="1" x="327"/>
        <item m="1" x="50"/>
        <item m="1" x="1323"/>
        <item m="1" x="411"/>
        <item m="1" x="1081"/>
        <item m="1" x="628"/>
        <item m="1" x="368"/>
        <item m="1" x="636"/>
        <item m="1" x="758"/>
        <item m="1" x="1435"/>
        <item m="1" x="708"/>
        <item m="1" x="890"/>
        <item m="1" x="301"/>
        <item m="1" x="1047"/>
        <item m="1" x="429"/>
        <item m="1" x="1010"/>
        <item m="1" x="451"/>
        <item m="1" x="1428"/>
        <item m="1" x="894"/>
        <item m="1" x="282"/>
        <item m="1" x="895"/>
        <item m="1" x="1015"/>
        <item m="1" x="22"/>
        <item m="1" x="31"/>
        <item m="1" x="1296"/>
        <item m="1" x="706"/>
        <item m="1" x="920"/>
        <item m="1" x="886"/>
        <item m="1" x="18"/>
        <item m="1" x="87"/>
        <item m="1" x="153"/>
        <item m="1" x="440"/>
        <item m="1" x="356"/>
        <item m="1" x="1004"/>
        <item m="1" x="1371"/>
        <item m="1" x="487"/>
        <item m="1" x="862"/>
        <item m="1" x="749"/>
        <item m="1" x="906"/>
        <item m="1" x="477"/>
        <item m="1" x="575"/>
        <item m="1" x="298"/>
        <item m="1" x="93"/>
        <item m="1" x="328"/>
        <item m="1" x="227"/>
        <item m="1" x="560"/>
        <item m="1" x="4"/>
        <item m="1" x="118"/>
        <item m="1" x="108"/>
        <item m="1" x="461"/>
        <item m="1" x="51"/>
        <item m="1" x="367"/>
        <item m="1" x="591"/>
        <item m="1" x="538"/>
        <item m="1" x="1340"/>
        <item m="1" x="968"/>
        <item m="1" x="1175"/>
        <item m="1" x="104"/>
        <item m="1" x="205"/>
        <item m="1" x="1030"/>
        <item m="1" x="950"/>
        <item m="1" x="1228"/>
        <item m="1" x="764"/>
        <item m="1" x="122"/>
        <item m="1" x="1002"/>
        <item m="1" x="351"/>
        <item m="1" x="288"/>
        <item m="1" x="1169"/>
        <item m="1" x="806"/>
        <item m="1" x="414"/>
        <item m="1" x="1254"/>
        <item m="1" x="858"/>
        <item m="1" x="1499"/>
        <item m="1" x="980"/>
        <item m="1" x="1066"/>
        <item m="1" x="1444"/>
        <item m="1" x="1079"/>
        <item m="1" x="580"/>
        <item m="1" x="399"/>
        <item m="1" x="462"/>
        <item m="1" x="107"/>
        <item m="1" x="979"/>
        <item m="1" x="815"/>
        <item m="1" x="448"/>
        <item m="1" x="33"/>
        <item m="1" x="1491"/>
        <item m="1" x="392"/>
        <item m="1" x="505"/>
        <item m="1" x="239"/>
        <item m="1" x="53"/>
        <item m="1" x="1162"/>
        <item m="1" x="1114"/>
        <item m="1" x="1400"/>
        <item m="1" x="413"/>
        <item m="1" x="1194"/>
        <item m="1" x="957"/>
        <item m="1" x="35"/>
        <item m="1" x="285"/>
        <item m="1" x="606"/>
        <item m="1" x="240"/>
        <item m="1" x="1283"/>
        <item m="1" x="1335"/>
        <item m="1" x="1402"/>
        <item m="1" x="512"/>
        <item m="1" x="1488"/>
        <item m="1" x="788"/>
        <item m="1" x="1380"/>
        <item m="1" x="1375"/>
        <item m="1" x="49"/>
        <item m="1" x="1153"/>
        <item m="1" x="760"/>
        <item m="1" x="1421"/>
        <item m="1" x="960"/>
        <item m="1" x="909"/>
        <item m="1" x="658"/>
        <item m="1" x="255"/>
        <item m="1" x="1105"/>
        <item m="1" x="1429"/>
        <item m="1" x="524"/>
        <item m="1" x="590"/>
        <item m="1" x="794"/>
        <item m="1" x="540"/>
        <item m="1" x="472"/>
        <item m="1" x="425"/>
        <item m="1" x="1029"/>
        <item m="1" x="270"/>
        <item m="1" x="543"/>
        <item m="1" x="36"/>
        <item m="1" x="244"/>
        <item m="1" x="276"/>
        <item m="1" x="1495"/>
        <item m="1" x="1442"/>
        <item m="1" x="937"/>
        <item m="1" x="1409"/>
        <item m="1" x="611"/>
        <item m="1" x="966"/>
        <item m="1" x="1288"/>
        <item m="1" x="867"/>
        <item m="1" x="599"/>
        <item m="1" x="585"/>
        <item m="1" x="594"/>
        <item m="1" x="509"/>
        <item m="1" x="1419"/>
        <item m="1" x="1313"/>
        <item m="1" x="283"/>
        <item m="1" x="665"/>
        <item m="1" x="1384"/>
        <item m="1" x="259"/>
        <item m="1" x="892"/>
        <item m="1" x="1038"/>
        <item m="1" x="1452"/>
        <item m="1" x="1467"/>
        <item m="1" x="623"/>
        <item m="1" x="245"/>
        <item m="1" x="1096"/>
        <item m="1" x="1126"/>
        <item m="1" x="1337"/>
        <item m="1" x="393"/>
        <item m="1" x="1137"/>
        <item m="1" x="1470"/>
        <item m="1" x="801"/>
        <item m="1" x="1446"/>
        <item m="1" x="365"/>
        <item m="1" x="464"/>
        <item m="1" x="72"/>
        <item m="1" x="687"/>
        <item m="1" x="352"/>
        <item m="1" x="56"/>
        <item m="1" x="916"/>
        <item m="1" x="254"/>
        <item m="1" x="654"/>
        <item m="1" x="474"/>
        <item m="1" x="428"/>
        <item m="1" x="1482"/>
        <item m="1" x="884"/>
        <item m="1" x="1291"/>
        <item m="1" x="789"/>
        <item m="1" x="829"/>
        <item m="1" x="101"/>
        <item m="1" x="60"/>
        <item m="1" x="1165"/>
        <item m="1" x="790"/>
        <item m="1" x="207"/>
        <item m="1" x="231"/>
        <item m="1" x="675"/>
        <item m="1" x="501"/>
        <item m="1" x="1236"/>
        <item m="1" x="357"/>
        <item m="1" x="1084"/>
        <item m="1" x="793"/>
        <item m="1" x="1187"/>
        <item m="1" x="442"/>
        <item m="1" x="774"/>
        <item m="1" x="485"/>
        <item m="1" x="335"/>
        <item m="1" x="891"/>
        <item m="1" x="924"/>
        <item m="1" x="64"/>
        <item m="1" x="872"/>
        <item m="1" x="267"/>
        <item m="1" x="1048"/>
        <item m="1" x="386"/>
        <item m="1" x="1200"/>
        <item m="1" x="415"/>
        <item m="1" x="1170"/>
        <item m="1" x="532"/>
        <item m="1" x="734"/>
        <item m="1" x="1133"/>
        <item m="1" x="23"/>
        <item m="1" x="220"/>
        <item m="1" x="1500"/>
        <item m="1" x="272"/>
        <item m="1" x="234"/>
        <item m="1" x="1353"/>
        <item m="1" x="168"/>
        <item m="1" x="80"/>
        <item m="1" x="978"/>
        <item m="1" x="1227"/>
        <item m="1" x="981"/>
        <item m="1" x="799"/>
        <item m="1" x="1111"/>
        <item m="1" x="439"/>
        <item m="1" x="258"/>
        <item m="1" x="993"/>
        <item m="1" x="59"/>
        <item m="1" x="495"/>
        <item m="1" x="908"/>
        <item m="1" x="1006"/>
        <item m="1" x="1489"/>
        <item m="1" x="856"/>
        <item m="1" x="1350"/>
        <item m="1" x="369"/>
        <item m="1" x="813"/>
        <item m="1" x="787"/>
        <item m="1" x="98"/>
        <item m="1" x="559"/>
        <item m="1" x="1302"/>
        <item m="1" x="1249"/>
        <item m="1" x="952"/>
        <item m="1" x="396"/>
        <item m="1" x="198"/>
        <item m="1" x="330"/>
        <item m="1" x="1485"/>
        <item m="1" x="632"/>
        <item m="1" x="759"/>
        <item m="1" x="607"/>
        <item m="1" x="1290"/>
        <item m="1" x="295"/>
        <item m="1" x="325"/>
        <item m="1" x="217"/>
        <item m="1" x="1276"/>
        <item m="1" x="1427"/>
        <item m="1" x="522"/>
        <item m="1" x="528"/>
        <item m="1" x="1099"/>
        <item m="1" x="1459"/>
        <item m="1" x="251"/>
        <item m="1" x="1336"/>
        <item m="1" x="333"/>
        <item m="1" x="1071"/>
        <item m="1" x="1074"/>
        <item m="1" x="646"/>
        <item m="1" x="1481"/>
        <item m="1" x="823"/>
        <item m="1" x="1034"/>
        <item m="1" x="545"/>
        <item m="1" x="949"/>
        <item m="1" x="438"/>
        <item m="1" x="1476"/>
        <item m="1" x="747"/>
        <item m="1" x="963"/>
        <item m="1" x="550"/>
        <item m="1" x="648"/>
        <item m="1" x="338"/>
        <item m="1" x="1149"/>
        <item m="1" x="889"/>
        <item m="1" x="666"/>
        <item m="1" x="605"/>
        <item m="1" x="1155"/>
        <item m="1" x="1341"/>
        <item m="1" x="1130"/>
        <item m="1" x="480"/>
        <item m="1" x="686"/>
        <item m="1" x="185"/>
        <item m="1" x="190"/>
        <item m="1" x="69"/>
        <item m="1" x="278"/>
        <item m="1" x="1078"/>
        <item m="1" x="309"/>
        <item m="1" x="943"/>
        <item m="1" x="55"/>
        <item m="1" x="342"/>
        <item m="1" x="1000"/>
        <item m="1" x="695"/>
        <item m="1" x="807"/>
        <item m="1" x="635"/>
        <item m="1" x="873"/>
        <item m="1" x="228"/>
        <item m="1" x="1293"/>
        <item m="1" x="502"/>
        <item m="1" x="11"/>
        <item m="1" x="135"/>
        <item m="1" x="1457"/>
        <item m="1" x="955"/>
        <item m="1" x="657"/>
        <item m="1" x="917"/>
        <item m="1" x="1418"/>
        <item m="1" x="249"/>
        <item m="1" x="1007"/>
        <item m="1" x="1369"/>
        <item m="1" x="1373"/>
        <item m="1" x="967"/>
        <item m="1" x="223"/>
        <item m="1" x="1248"/>
        <item m="1" x="316"/>
        <item m="1" x="1411"/>
        <item m="1" x="661"/>
        <item m="1" x="744"/>
        <item m="1" x="745"/>
        <item m="1" x="142"/>
        <item m="1" x="420"/>
        <item m="1" x="1403"/>
        <item m="1" x="527"/>
        <item m="1" x="7"/>
        <item m="1" x="653"/>
        <item m="1" x="1460"/>
        <item m="1" x="1261"/>
        <item m="1" x="1072"/>
        <item m="1" x="1330"/>
        <item m="1" x="46"/>
        <item m="1" x="1027"/>
        <item m="1" x="887"/>
        <item m="1" x="1294"/>
        <item m="1" x="1464"/>
        <item m="1" x="1094"/>
        <item m="1" x="869"/>
        <item m="1" x="1148"/>
        <item m="1" x="1075"/>
        <item m="1" x="89"/>
        <item m="1" x="562"/>
        <item m="1" x="115"/>
        <item m="1" x="310"/>
        <item m="1" x="219"/>
        <item m="1" x="193"/>
        <item m="1" x="1327"/>
        <item m="1" x="1050"/>
        <item m="1" x="221"/>
        <item m="1" x="942"/>
        <item m="1" x="934"/>
        <item m="1" x="479"/>
        <item m="1" x="565"/>
        <item m="1" x="366"/>
        <item m="1" x="1309"/>
        <item m="1" x="1203"/>
        <item m="1" x="946"/>
        <item m="1" x="998"/>
        <item m="1" x="945"/>
        <item m="1" x="1322"/>
        <item m="1" x="182"/>
        <item m="1" x="359"/>
        <item m="1" x="1042"/>
        <item m="1" x="1359"/>
        <item m="1" x="1131"/>
        <item m="1" x="1167"/>
        <item m="1" x="306"/>
        <item m="1" x="1197"/>
        <item m="1" x="962"/>
        <item m="1" x="659"/>
        <item m="1" x="8"/>
        <item m="1" x="308"/>
        <item m="1" x="1477"/>
        <item m="1" x="40"/>
        <item m="1" x="363"/>
        <item m="1" x="1478"/>
        <item m="1" x="181"/>
        <item m="1" x="582"/>
        <item m="1" x="37"/>
        <item m="1" x="517"/>
        <item m="1" x="1281"/>
        <item m="1" x="778"/>
        <item m="1" x="515"/>
        <item m="1" x="85"/>
        <item m="1" x="1298"/>
        <item m="1" x="508"/>
        <item m="1" x="1028"/>
        <item m="1" x="235"/>
        <item m="1" x="297"/>
        <item m="1" x="339"/>
        <item m="1" x="374"/>
        <item m="1" x="286"/>
        <item m="1" x="1390"/>
        <item m="1" x="863"/>
        <item m="1" x="640"/>
        <item m="1" x="1250"/>
        <item m="1" x="1361"/>
        <item m="1" x="379"/>
        <item m="1" x="1269"/>
        <item m="1" x="81"/>
        <item m="1" x="224"/>
        <item m="1" x="921"/>
        <item m="1" x="484"/>
        <item m="1" x="109"/>
        <item m="1" x="242"/>
        <item m="1" x="67"/>
        <item m="1" x="882"/>
        <item m="1" x="809"/>
        <item m="1" x="313"/>
        <item m="1" x="398"/>
        <item m="1" x="174"/>
        <item m="1" x="1453"/>
        <item m="1" x="592"/>
        <item m="1" x="539"/>
        <item m="1" x="66"/>
        <item m="1" x="1139"/>
        <item m="1" x="1465"/>
        <item m="1" x="1307"/>
        <item m="1" x="897"/>
        <item m="1" x="491"/>
        <item m="1" x="918"/>
        <item m="1" x="1440"/>
        <item m="1" x="860"/>
        <item m="1" x="237"/>
        <item m="1" x="1009"/>
        <item m="1" x="1472"/>
        <item m="1" x="435"/>
        <item m="1" x="1383"/>
        <item m="1" x="1189"/>
        <item m="1" x="324"/>
        <item m="1" x="39"/>
        <item m="1" x="454"/>
        <item m="1" x="810"/>
        <item m="1" x="1370"/>
        <item m="1" x="43"/>
        <item m="1" x="1434"/>
        <item m="1" x="766"/>
        <item m="1" x="1206"/>
        <item m="1" x="1136"/>
        <item m="1" x="614"/>
        <item m="1" x="378"/>
        <item m="1" x="1320"/>
        <item m="1" x="701"/>
        <item m="1" x="94"/>
        <item m="1" x="277"/>
        <item m="1" x="597"/>
        <item m="1" x="102"/>
        <item m="1" x="269"/>
        <item m="1" x="1292"/>
        <item m="1" x="305"/>
        <item m="1" x="1025"/>
        <item m="1" x="1201"/>
        <item m="1" x="170"/>
        <item m="1" x="422"/>
        <item m="1" x="1395"/>
        <item m="1" x="572"/>
        <item m="1" x="919"/>
        <item m="1" x="1100"/>
        <item m="1" x="724"/>
        <item m="1" x="729"/>
        <item m="1" x="652"/>
        <item m="1" x="961"/>
        <item m="1" x="1456"/>
        <item m="1" x="1324"/>
        <item m="1" x="45"/>
        <item m="1" x="840"/>
        <item m="1" x="836"/>
        <item m="1" x="1068"/>
        <item m="1" x="1202"/>
        <item m="1" x="1345"/>
        <item m="1" x="407"/>
        <item m="1" x="825"/>
        <item m="1" x="318"/>
        <item m="1" x="1475"/>
        <item m="1" x="343"/>
        <item m="1" x="1005"/>
        <item m="1" x="54"/>
        <item m="1" x="1199"/>
        <item m="1" x="672"/>
        <item m="1" x="321"/>
        <item m="1" x="781"/>
        <item m="1" x="1357"/>
        <item m="1" x="1318"/>
        <item m="1" x="689"/>
        <item m="1" x="847"/>
        <item m="1" x="692"/>
        <item m="1" x="123"/>
        <item m="1" x="1109"/>
        <item m="1" x="547"/>
        <item m="1" x="171"/>
        <item m="1" x="1211"/>
        <item m="1" x="226"/>
        <item m="1" x="792"/>
        <item m="1" x="868"/>
        <item m="1" x="1305"/>
        <item m="1" x="1306"/>
        <item m="1" x="1087"/>
        <item m="1" x="1280"/>
        <item m="1" x="618"/>
        <item m="1" x="613"/>
        <item m="1" x="569"/>
        <item m="1" x="1458"/>
        <item m="1" x="164"/>
        <item m="1" x="721"/>
        <item m="1" x="752"/>
        <item m="1" x="404"/>
        <item m="1" x="47"/>
        <item m="1" x="843"/>
        <item m="1" x="329"/>
        <item m="1" x="911"/>
        <item m="1" x="513"/>
        <item m="1" x="1486"/>
        <item m="1" x="710"/>
        <item m="1" x="571"/>
        <item m="1" x="861"/>
        <item m="1" x="431"/>
        <item m="1" x="804"/>
        <item m="1" x="526"/>
        <item m="1" x="1414"/>
        <item m="1" x="1026"/>
        <item m="1" x="1231"/>
        <item m="1" x="1436"/>
        <item m="1" x="1089"/>
        <item m="1" x="553"/>
        <item m="1" x="287"/>
        <item m="1" x="947"/>
        <item m="1" x="73"/>
        <item m="1" x="910"/>
        <item m="1" x="795"/>
        <item m="1" x="1393"/>
        <item m="1" x="965"/>
        <item m="1" x="510"/>
        <item m="1" x="1376"/>
        <item m="1" x="358"/>
        <item m="1" x="280"/>
        <item m="1" x="1473"/>
        <item m="1" x="346"/>
        <item m="1" x="1410"/>
        <item m="1" x="548"/>
        <item m="1" x="337"/>
        <item m="1" x="6"/>
        <item m="1" x="1484"/>
        <item m="1" x="143"/>
        <item m="1" x="570"/>
        <item m="1" x="114"/>
        <item m="1" x="1399"/>
        <item m="1" x="497"/>
        <item m="1" x="1469"/>
        <item m="1" x="690"/>
        <item m="1" x="348"/>
        <item m="1" x="696"/>
        <item m="1" x="1354"/>
        <item m="1" x="935"/>
        <item m="1" x="12"/>
        <item m="1" x="419"/>
        <item m="1" x="1377"/>
        <item m="1" x="1232"/>
        <item m="1" x="1117"/>
        <item m="1" x="1224"/>
        <item m="1" x="1247"/>
        <item m="1" x="608"/>
        <item m="1" x="405"/>
        <item m="1" x="1437"/>
        <item m="1" x="187"/>
        <item m="1" x="1303"/>
        <item m="1" x="180"/>
        <item m="1" x="859"/>
        <item m="1" x="350"/>
        <item m="1" x="444"/>
        <item m="1" x="21"/>
        <item m="1" x="1267"/>
        <item m="1" x="1314"/>
        <item m="1" x="1112"/>
        <item m="1" x="468"/>
        <item m="1" x="1142"/>
        <item m="1" x="556"/>
        <item m="1" x="289"/>
        <item m="1" x="82"/>
        <item m="1" x="676"/>
        <item m="1" x="113"/>
        <item m="1" x="1205"/>
        <item m="1" x="1225"/>
        <item m="1" x="1186"/>
        <item m="1" x="555"/>
        <item m="1" x="134"/>
        <item m="1" x="486"/>
        <item m="1" x="976"/>
        <item m="1" x="785"/>
        <item m="1" x="494"/>
        <item m="1" x="816"/>
        <item m="1" x="1316"/>
        <item m="1" x="1129"/>
        <item m="1" x="600"/>
        <item m="1" x="1423"/>
        <item m="1" x="230"/>
        <item m="1" x="1144"/>
        <item m="1" x="803"/>
        <item m="1" x="837"/>
        <item m="1" x="637"/>
        <item m="1" x="1088"/>
        <item m="1" x="1043"/>
        <item m="1" x="323"/>
        <item m="1" x="940"/>
        <item m="1" x="1119"/>
        <item m="1" x="1284"/>
        <item m="1" x="989"/>
        <item m="1" x="808"/>
        <item m="1" x="380"/>
        <item m="1" x="453"/>
        <item m="1" x="511"/>
        <item m="1" x="331"/>
        <item m="1" x="1191"/>
        <item m="1" x="814"/>
        <item m="1" x="1163"/>
        <item m="1" x="1107"/>
        <item m="1" x="1343"/>
        <item m="1" x="755"/>
        <item m="1" x="496"/>
        <item m="1" x="1432"/>
        <item m="1" x="702"/>
        <item m="1" x="299"/>
        <item m="1" x="775"/>
        <item m="1" x="933"/>
        <item m="1" x="583"/>
        <item m="1" x="725"/>
        <item m="1" x="1116"/>
        <item m="1" x="1251"/>
        <item m="1" x="83"/>
        <item m="1" x="151"/>
        <item m="1" x="155"/>
        <item m="1" x="218"/>
        <item m="1" x="531"/>
        <item m="1" x="874"/>
        <item m="1" x="383"/>
        <item m="1" x="1285"/>
        <item m="1" x="1040"/>
        <item m="1" x="1397"/>
        <item m="1" x="345"/>
        <item m="1" x="1118"/>
        <item m="1" x="761"/>
        <item m="1" x="645"/>
        <item m="1" x="1299"/>
        <item m="1" x="824"/>
        <item m="1" x="199"/>
        <item m="1" x="246"/>
        <item m="1" x="951"/>
        <item m="1" x="1143"/>
        <item m="1" x="233"/>
        <item m="1" x="74"/>
        <item m="1" x="1157"/>
        <item m="1" x="621"/>
        <item m="1" x="189"/>
        <item m="1" x="849"/>
        <item m="1" x="471"/>
        <item m="1" x="650"/>
        <item m="1" x="488"/>
        <item m="1" x="730"/>
        <item m="1" x="736"/>
        <item m="1" x="1455"/>
        <item m="1" x="1104"/>
        <item m="1" x="1253"/>
        <item m="1" x="1160"/>
        <item m="1" x="161"/>
        <item m="1" x="748"/>
        <item m="1" x="1018"/>
        <item m="1" x="1158"/>
        <item m="1" x="1237"/>
        <item m="1" x="739"/>
        <item m="1" x="452"/>
        <item m="1" x="13"/>
        <item m="1" x="693"/>
        <item m="1" x="1431"/>
        <item m="1" x="854"/>
        <item m="1" x="999"/>
        <item m="1" x="1381"/>
        <item m="1" x="1134"/>
        <item m="1" x="400"/>
        <item m="1" x="641"/>
        <item m="1" x="634"/>
        <item m="1" x="184"/>
        <item m="1" x="1196"/>
        <item m="1" x="1067"/>
        <item m="1" x="1277"/>
        <item m="1" x="17"/>
        <item m="1" x="504"/>
        <item m="1" x="881"/>
        <item m="1" x="581"/>
        <item m="1" x="558"/>
        <item m="1" x="296"/>
        <item m="1" x="905"/>
        <item m="1" x="1490"/>
        <item m="1" x="481"/>
        <item m="1" x="197"/>
        <item m="1" x="137"/>
        <item m="1" x="521"/>
        <item m="1" x="145"/>
        <item m="1" x="1"/>
        <item m="1" x="1019"/>
        <item m="1" x="819"/>
        <item m="1" x="677"/>
        <item m="1" x="990"/>
        <item m="1" x="1188"/>
        <item m="1" x="394"/>
        <item m="1" x="537"/>
        <item m="1" x="103"/>
        <item m="1" x="48"/>
        <item m="1" x="1036"/>
        <item m="1" x="42"/>
        <item m="1" x="1366"/>
        <item m="1" x="322"/>
        <item m="1" x="403"/>
        <item m="1" x="954"/>
        <item m="1" x="1171"/>
        <item m="1" x="1090"/>
        <item m="1" x="265"/>
        <item m="1" x="691"/>
        <item m="1" x="257"/>
        <item m="1" x="1454"/>
        <item m="1" x="1493"/>
        <item m="1" x="92"/>
        <item m="1" x="1420"/>
        <item m="1" x="507"/>
        <item m="1" x="1407"/>
        <item m="1" x="958"/>
        <item m="1" x="670"/>
        <item m="1" x="1279"/>
        <item m="1" x="922"/>
        <item m="1" x="1387"/>
        <item m="1" x="268"/>
        <item m="1" x="876"/>
        <item m="1" x="293"/>
        <item m="1" x="183"/>
        <item m="1" x="1216"/>
        <item m="1" x="1496"/>
        <item m="1" x="3"/>
        <item m="1" x="241"/>
        <item m="1" x="362"/>
        <item m="1" x="157"/>
        <item m="1" x="1127"/>
        <item m="1" x="175"/>
        <item m="1" x="1392"/>
        <item m="1" x="762"/>
        <item m="1" x="557"/>
        <item m="1" x="982"/>
        <item m="1" x="878"/>
        <item m="1" x="1128"/>
        <item m="1" x="848"/>
        <item m="1" x="349"/>
        <item m="1" x="1085"/>
        <item m="1" x="898"/>
        <item m="1" x="1480"/>
        <item m="1" x="938"/>
        <item m="1" x="589"/>
        <item m="1" x="796"/>
        <item m="1" x="465"/>
        <item m="1" x="930"/>
        <item m="1" x="212"/>
        <item m="1" x="450"/>
        <item m="1" x="292"/>
        <item m="1" x="680"/>
        <item m="1" x="712"/>
        <item m="1" x="1282"/>
        <item m="1" x="576"/>
        <item m="1" x="449"/>
        <item m="1" x="727"/>
        <item m="1" x="1065"/>
        <item m="1" x="1052"/>
        <item m="1" x="1417"/>
        <item m="1" x="1062"/>
        <item m="1" x="169"/>
        <item m="1" x="294"/>
        <item m="1" x="994"/>
        <item m="1" x="1230"/>
        <item m="1" x="124"/>
        <item m="1" x="1385"/>
        <item m="1" x="302"/>
        <item m="1" x="588"/>
        <item m="1" x="147"/>
        <item m="1" x="1492"/>
        <item m="1" x="811"/>
        <item m="1" x="1326"/>
        <item m="1" x="1233"/>
        <item m="1" x="1222"/>
        <item m="1" x="304"/>
        <item m="1" x="554"/>
        <item m="1" x="839"/>
        <item m="1" x="631"/>
        <item m="1" x="389"/>
        <item m="1" x="1210"/>
        <item m="1" x="200"/>
        <item m="1" x="105"/>
        <item m="1" x="561"/>
        <item m="1" x="1077"/>
        <item m="1" x="536"/>
        <item m="1" x="364"/>
        <item m="1" x="1297"/>
        <item m="1" x="1120"/>
        <item m="1" x="361"/>
        <item m="1" x="1404"/>
        <item m="1" x="1273"/>
        <item m="1" x="780"/>
        <item m="1" x="97"/>
        <item m="1" x="746"/>
        <item m="1" x="1317"/>
        <item m="1" x="1014"/>
        <item m="1" x="622"/>
        <item m="1" x="112"/>
        <item m="1" x="1386"/>
        <item m="1" x="232"/>
        <item m="1" x="1349"/>
        <item m="1" x="673"/>
        <item m="1" x="668"/>
        <item m="1" x="870"/>
        <item m="1" x="722"/>
        <item m="1" x="772"/>
        <item m="1" x="857"/>
        <item m="1" x="880"/>
        <item m="1" x="798"/>
        <item m="1" x="127"/>
        <item m="1" x="633"/>
        <item m="1" x="1441"/>
        <item m="1" x="1255"/>
        <item m="1" x="121"/>
        <item m="1" x="312"/>
        <item m="1" x="211"/>
        <item m="1" x="1208"/>
        <item m="1" x="805"/>
        <item m="1" x="173"/>
        <item m="1" x="996"/>
        <item m="1" x="456"/>
        <item m="1" x="216"/>
        <item m="1" x="340"/>
        <item m="1" x="1274"/>
        <item m="1" x="1080"/>
        <item m="1" x="714"/>
        <item m="1" x="900"/>
        <item m="1" x="694"/>
        <item m="1" x="638"/>
        <item m="1" x="704"/>
        <item m="1" x="888"/>
        <item m="1" x="86"/>
        <item m="1" x="1223"/>
        <item m="1" x="844"/>
        <item m="1" x="434"/>
        <item m="1" x="612"/>
        <item m="1" x="110"/>
        <item m="1" x="273"/>
        <item m="1" x="852"/>
        <item m="1" x="424"/>
        <item m="1" x="586"/>
        <item m="1" x="602"/>
        <item m="1" x="568"/>
        <item m="1" x="647"/>
        <item m="1" x="458"/>
        <item m="1" x="300"/>
        <item m="1" x="159"/>
        <item m="1" x="1463"/>
        <item m="1" x="78"/>
        <item m="1" x="651"/>
        <item m="1" x="1332"/>
        <item m="1" x="77"/>
        <item m="1" x="737"/>
        <item m="1" x="303"/>
        <item m="1" x="470"/>
        <item m="1" x="1073"/>
        <item m="1" x="977"/>
        <item m="1" x="1219"/>
        <item m="1" x="281"/>
        <item m="1" x="1355"/>
        <item m="1" x="1082"/>
        <item m="1" x="1235"/>
        <item m="1" x="667"/>
        <item m="1" x="203"/>
        <item m="1" x="332"/>
        <item m="1" x="1154"/>
        <item m="1" x="1333"/>
        <item m="1" x="923"/>
        <item m="1" x="125"/>
        <item m="1" x="1045"/>
        <item m="1" x="610"/>
        <item m="1" x="1083"/>
        <item m="1" x="1358"/>
        <item m="1" x="188"/>
        <item m="1" x="535"/>
        <item m="1" x="1147"/>
        <item m="1" x="567"/>
        <item m="1" x="1329"/>
        <item m="1" x="133"/>
        <item m="1" x="1023"/>
        <item m="1" x="1275"/>
        <item m="1" x="662"/>
        <item m="1" x="768"/>
        <item m="1" x="24"/>
        <item m="1" x="624"/>
        <item m="1" x="271"/>
        <item m="1" x="209"/>
        <item m="1" x="1389"/>
        <item m="1" x="1181"/>
        <item m="1" x="663"/>
        <item m="1" x="534"/>
        <item m="1" x="1182"/>
        <item m="1" x="177"/>
        <item m="1" x="1132"/>
        <item m="1" x="148"/>
        <item m="1" x="620"/>
        <item m="1" x="1241"/>
        <item m="1" x="131"/>
        <item m="1" x="944"/>
        <item m="1" x="834"/>
        <item m="1" x="956"/>
        <item m="1" x="1487"/>
        <item m="1" x="426"/>
        <item m="1" x="437"/>
        <item m="1" x="119"/>
        <item m="1" x="1342"/>
        <item m="1" x="229"/>
        <item m="1" x="1295"/>
        <item m="1" x="883"/>
        <item m="1" x="222"/>
        <item m="1" x="932"/>
        <item m="1" x="826"/>
        <item m="1" x="1108"/>
        <item m="1" x="503"/>
        <item m="1" x="1406"/>
        <item m="1" x="705"/>
        <item m="1" x="1382"/>
        <item m="1" x="1312"/>
        <item m="1" x="717"/>
        <item m="1" x="1033"/>
        <item m="1" x="260"/>
        <item m="1" x="1035"/>
        <item m="1" x="907"/>
        <item m="1" x="1325"/>
        <item m="1" x="201"/>
        <item m="1" x="353"/>
        <item m="1" x="1069"/>
        <item m="1" x="904"/>
        <item m="1" x="1020"/>
        <item m="1" x="1146"/>
        <item m="1" x="750"/>
        <item m="1" x="1259"/>
        <item m="1" x="573"/>
        <item m="1" x="1221"/>
        <item m="1" x="992"/>
        <item m="1" x="1093"/>
        <item m="1" x="797"/>
        <item m="1" x="1164"/>
        <item m="1" x="514"/>
        <item m="1" x="551"/>
        <item m="1" x="1287"/>
        <item m="1" x="1242"/>
        <item m="1" x="1339"/>
        <item m="1" x="139"/>
        <item m="1" x="371"/>
        <item m="1" x="387"/>
        <item m="1" x="238"/>
        <item m="1" x="186"/>
        <item m="1" x="1367"/>
        <item m="1" x="344"/>
        <item m="1" x="598"/>
        <item m="1" x="1161"/>
        <item m="1" x="455"/>
        <item m="1" x="1156"/>
        <item m="1" x="1115"/>
        <item m="1" x="719"/>
        <item m="1" x="669"/>
        <item m="1" x="373"/>
        <item m="1" x="57"/>
        <item m="1" x="498"/>
        <item m="1" x="336"/>
        <item m="1" x="991"/>
        <item m="1" x="191"/>
        <item m="1" x="779"/>
        <item m="1" x="32"/>
        <item m="1" x="757"/>
        <item m="1" x="817"/>
        <item m="1" x="446"/>
        <item m="1" x="742"/>
        <item m="1" x="926"/>
        <item m="1" x="1051"/>
        <item m="1" x="969"/>
        <item m="1" x="120"/>
        <item m="1" x="1347"/>
        <item m="1" x="579"/>
        <item m="1" x="674"/>
        <item m="1" x="100"/>
        <item m="1" x="1352"/>
        <item m="1" x="1150"/>
        <item m="1" x="68"/>
        <item m="1" x="688"/>
        <item m="1" x="95"/>
        <item m="1" x="928"/>
        <item m="1" x="929"/>
        <item m="1" x="1501"/>
        <item m="1" x="609"/>
        <item m="1" x="833"/>
        <item m="1" x="525"/>
        <item m="1" x="52"/>
        <item m="1" x="777"/>
        <item m="1" x="871"/>
        <item m="1" x="406"/>
        <item m="1" x="253"/>
        <item m="1" x="703"/>
        <item m="1" x="1264"/>
        <item m="1" x="284"/>
        <item m="1" x="418"/>
        <item m="1" x="163"/>
        <item m="1" x="1443"/>
        <item m="1" x="936"/>
        <item m="1" x="1257"/>
        <item m="1" x="1180"/>
        <item m="1" x="1438"/>
        <item m="1" x="1408"/>
        <item m="1" x="1338"/>
        <item m="1" x="130"/>
        <item m="1" x="577"/>
        <item m="1" x="317"/>
        <item m="1" x="1212"/>
        <item m="1" x="15"/>
        <item m="1" x="723"/>
        <item m="1" x="126"/>
        <item m="1" x="1229"/>
        <item m="1" x="75"/>
        <item m="1" x="879"/>
        <item m="1" x="1177"/>
        <item m="1" x="812"/>
        <item m="1" x="1021"/>
        <item m="1" x="630"/>
        <item m="1" x="974"/>
        <item m="1" x="10"/>
        <item m="1" x="831"/>
        <item m="1" x="1265"/>
        <item m="1" x="927"/>
        <item m="1" x="682"/>
        <item m="1" x="214"/>
        <item m="1" x="1092"/>
        <item m="1" x="291"/>
        <item m="1" x="1360"/>
        <item m="1" x="756"/>
        <item m="1" x="1301"/>
        <item m="1" x="931"/>
        <item m="1" x="1447"/>
        <item m="1" x="1396"/>
        <item m="1" x="783"/>
        <item m="1" x="1168"/>
        <item m="1" x="1362"/>
        <item m="1" x="1239"/>
        <item m="1" x="707"/>
        <item m="1" x="1412"/>
        <item m="1" x="1451"/>
        <item m="1" x="941"/>
        <item m="1" x="116"/>
        <item m="1" x="584"/>
        <item m="1" x="1351"/>
        <item m="1" x="1321"/>
        <item m="1" x="987"/>
        <item m="1" x="713"/>
        <item m="1" x="1271"/>
        <item m="1" x="14"/>
        <item m="1" x="1123"/>
        <item m="1" x="679"/>
        <item m="1" x="192"/>
        <item m="1" x="390"/>
        <item m="1" x="71"/>
        <item m="1" x="875"/>
        <item m="1" x="773"/>
        <item m="1" x="656"/>
        <item m="1" x="964"/>
        <item m="1" x="595"/>
        <item m="1" x="1152"/>
        <item m="1" x="492"/>
        <item m="1" x="596"/>
        <item m="1" x="1159"/>
        <item m="1" x="866"/>
        <item m="1" x="195"/>
        <item m="1" x="732"/>
        <item m="1" x="1416"/>
        <item m="1" x="154"/>
        <item m="1" x="311"/>
        <item m="1" x="473"/>
        <item m="1" x="851"/>
        <item m="1" x="1174"/>
        <item m="1" x="1044"/>
        <item m="1" x="1049"/>
        <item m="1" x="447"/>
        <item m="1" x="38"/>
        <item m="1" x="711"/>
        <item m="1" x="1300"/>
        <item m="1" x="1243"/>
        <item m="1" x="619"/>
        <item m="1" x="1365"/>
        <item m="1" x="1378"/>
        <item m="1" x="1331"/>
        <item x="0"/>
        <item m="1" x="30"/>
        <item m="1" x="172"/>
        <item m="1" x="853"/>
        <item m="1" x="1405"/>
        <item m="1" x="377"/>
        <item m="1" x="88"/>
        <item m="1" x="1425"/>
        <item m="1" x="1445"/>
        <item m="1" x="90"/>
        <item m="1" x="1183"/>
        <item m="1" x="850"/>
        <item m="1" x="1098"/>
        <item m="1" x="1213"/>
        <item m="1" x="1185"/>
        <item m="1" x="615"/>
        <item m="1" x="381"/>
        <item m="1" x="467"/>
        <item m="1" x="152"/>
        <item m="1" x="828"/>
        <item m="1" x="443"/>
        <item m="1" x="865"/>
        <item m="1" x="1494"/>
        <item m="1" x="1061"/>
        <item m="1" x="1198"/>
        <item m="1" x="1319"/>
        <item m="1" x="391"/>
        <item m="1" x="1466"/>
        <item m="1" x="1304"/>
        <item m="1" x="530"/>
        <item m="1" x="1252"/>
        <item m="1" x="320"/>
        <item m="1" x="1462"/>
        <item m="1" x="1372"/>
        <item m="1" x="1311"/>
        <item m="1" x="1433"/>
        <item m="1" x="959"/>
        <item m="1" x="699"/>
        <item m="1" x="500"/>
        <item m="1" x="16"/>
        <item m="1" x="196"/>
        <item m="1" x="1091"/>
        <item m="1" x="1207"/>
        <item m="1" x="202"/>
        <item m="1" x="275"/>
        <item m="1" x="698"/>
        <item m="1" x="236"/>
        <item m="1" x="264"/>
        <item m="1" x="41"/>
        <item m="1" x="1245"/>
        <item m="1" x="1022"/>
        <item m="1" x="483"/>
        <item m="1" x="1240"/>
        <item m="1" x="26"/>
        <item m="1" x="427"/>
        <item m="1" x="1474"/>
        <item m="1" x="1037"/>
        <item m="1" x="684"/>
        <item m="1" x="475"/>
        <item m="1" x="735"/>
        <item m="1" x="913"/>
        <item m="1" x="842"/>
        <item m="1" x="445"/>
        <item m="1" x="1138"/>
        <item m="1" x="160"/>
        <item m="1" x="912"/>
        <item m="1" x="149"/>
        <item m="1" x="194"/>
        <item m="1" x="376"/>
        <item m="1" x="1173"/>
        <item m="1" x="178"/>
        <item m="1" x="1413"/>
        <item m="1" x="1046"/>
        <item m="1" x="939"/>
        <item m="1" x="1011"/>
        <item m="1" x="279"/>
        <item m="1" x="61"/>
        <item m="1" x="643"/>
        <item m="1" x="44"/>
        <item m="1" x="326"/>
        <item m="1" x="1328"/>
        <item m="1" x="388"/>
        <item m="1" x="1356"/>
        <item m="1" x="274"/>
        <item m="1" x="476"/>
        <item m="1" x="903"/>
        <item m="1" x="726"/>
        <item m="1" x="1041"/>
        <item m="1" x="997"/>
        <item m="1" x="354"/>
        <item m="1" x="738"/>
        <item m="1" x="144"/>
        <item m="1" x="639"/>
        <item m="1" x="1135"/>
        <item m="1" x="1218"/>
        <item m="1" x="402"/>
        <item m="1" x="1016"/>
        <item m="1" x="832"/>
        <item m="1" x="408"/>
        <item m="1" x="983"/>
        <item m="1" x="382"/>
        <item m="1" x="544"/>
        <item m="1" x="250"/>
        <item m="1" x="1497"/>
        <item m="1" x="421"/>
        <item m="1" x="818"/>
        <item m="1" x="459"/>
        <item m="1" x="1398"/>
        <item m="1" x="549"/>
        <item m="1" x="441"/>
        <item m="1" x="671"/>
        <item m="1" x="1374"/>
        <item m="1" x="409"/>
        <item m="1" x="664"/>
        <item m="1" x="564"/>
        <item m="1" x="1479"/>
        <item m="1" x="678"/>
        <item m="1" x="1039"/>
        <item m="1" x="19"/>
        <item m="1" x="243"/>
        <item m="1" x="1172"/>
        <item m="1" x="925"/>
        <item m="1" x="791"/>
        <item m="1" x="128"/>
        <item m="1" x="129"/>
        <item m="1" x="1315"/>
        <item m="1" x="617"/>
        <item m="1" x="138"/>
        <item m="1" x="518"/>
        <item m="1" x="1209"/>
        <item m="1" x="546"/>
        <item m="1" x="1056"/>
        <item m="1" x="1192"/>
        <item m="1" x="416"/>
        <item m="1" x="1003"/>
        <item m="1" x="1141"/>
        <item m="1" x="1430"/>
        <item m="1" x="150"/>
        <item m="1" x="765"/>
        <item m="1" x="433"/>
        <item m="1" x="1121"/>
        <item m="1" x="384"/>
        <item m="1" x="375"/>
        <item m="1" x="252"/>
        <item m="1" x="625"/>
        <item m="1" x="1449"/>
        <item m="1" x="1364"/>
        <item m="1" x="1346"/>
        <item m="1" x="99"/>
        <item m="1" x="784"/>
        <item m="1" x="28"/>
        <item m="1" x="117"/>
        <item m="1" x="971"/>
        <item m="1" x="1110"/>
        <item m="1" x="1289"/>
        <item m="1" x="146"/>
        <item m="1" x="397"/>
        <item m="1" x="436"/>
        <item m="1" x="506"/>
        <item m="1" x="478"/>
        <item m="1" x="315"/>
        <item m="1" x="179"/>
        <item m="1" x="430"/>
        <item m="1" x="529"/>
        <item m="1" x="314"/>
        <item m="1" x="79"/>
        <item m="1" x="1103"/>
        <item m="1" x="27"/>
        <item m="1" x="176"/>
        <item m="1" x="603"/>
        <item m="1" x="158"/>
        <item m="1" x="902"/>
        <item m="1" x="845"/>
        <item m="1" x="141"/>
        <item m="1" x="1471"/>
        <item m="1" x="1310"/>
        <item m="1" x="266"/>
        <item m="1" x="593"/>
        <item m="1" x="1424"/>
        <item m="1" x="1270"/>
        <item m="1" x="1008"/>
        <item m="1" x="864"/>
        <item m="1" x="802"/>
        <item m="1" x="1394"/>
        <item m="1" x="247"/>
        <item m="1" x="715"/>
        <item m="1" x="1422"/>
        <item m="1" x="1226"/>
        <item m="1" x="953"/>
        <item m="1" x="225"/>
        <item m="1" x="709"/>
        <item m="1" x="256"/>
        <item m="1" x="743"/>
        <item m="1" x="985"/>
        <item m="1" x="20"/>
        <item m="1" x="901"/>
        <item m="1" x="1217"/>
        <item m="1" x="29"/>
        <item m="1" x="1286"/>
        <item m="1" x="248"/>
        <item m="1" x="970"/>
        <item m="1" x="914"/>
        <item m="1" x="1012"/>
        <item m="1" x="563"/>
        <item m="1" x="469"/>
        <item m="1" x="1140"/>
        <item m="1" x="307"/>
        <item m="1" x="106"/>
        <item m="1" x="835"/>
        <item m="1" x="988"/>
        <item m="1" x="347"/>
        <item m="1" x="1086"/>
        <item m="1" x="523"/>
        <item m="1" x="846"/>
        <item m="1" x="341"/>
        <item m="1" x="1151"/>
        <item m="1" x="410"/>
        <item m="1" x="728"/>
        <item m="1" x="718"/>
        <item m="1" x="741"/>
      </items>
      <autoSortScope>
        <pivotArea dataOnly="0" outline="0" fieldPosition="0">
          <references count="1">
            <reference field="4294967294" count="1" selected="0">
              <x v="5"/>
            </reference>
          </references>
        </pivotArea>
      </autoSortScope>
    </pivotField>
    <pivotField compact="0" numFmtId="22" outline="0" showAll="0" defaultSubtotal="0"/>
    <pivotField compact="0" outline="0" showAll="0" defaultSubtotal="0"/>
    <pivotField compact="0" outline="0" showAll="0" defaultSubtotal="0"/>
    <pivotField compact="0" numFmtId="22" outline="0" showAll="0" defaultSubtotal="0"/>
    <pivotField compact="0" outline="0" showAll="0" defaultSubtotal="0"/>
    <pivotField compact="0" outline="0" showAll="0" defaultSubtotal="0"/>
    <pivotField compact="0" numFmtId="22" outline="0" showAll="0" defaultSubtotal="0"/>
    <pivotField dataField="1" compact="0" outline="0" showAll="0"/>
    <pivotField dataField="1" compact="0" outline="0" showAll="0"/>
    <pivotField dataField="1" compact="0" outline="0" showAll="0"/>
    <pivotField dataField="1" compact="0" outline="0" showAll="0"/>
    <pivotField dataField="1" compact="0" outline="0" showAll="0"/>
    <pivotField dataField="1" compact="0" numFmtId="44" outline="0" showAll="0"/>
    <pivotField compact="0" outline="0" showAll="0"/>
    <pivotField compact="0" outline="0" showAll="0"/>
    <pivotField compact="0" outline="0" showAll="0"/>
    <pivotField compact="0" numFmtId="44" outline="0" showAll="0" defaultSubtotal="0"/>
    <pivotField compact="0" numFmtId="44" outline="0" showAll="0" defaultSubtotal="0"/>
  </pivotFields>
  <rowFields count="1">
    <field x="6"/>
  </rowFields>
  <rowItems count="2">
    <i>
      <x v="1282"/>
    </i>
    <i t="grand">
      <x/>
    </i>
  </rowItems>
  <colFields count="1">
    <field x="-2"/>
  </colFields>
  <colItems count="6">
    <i>
      <x/>
    </i>
    <i i="1">
      <x v="1"/>
    </i>
    <i i="2">
      <x v="2"/>
    </i>
    <i i="3">
      <x v="3"/>
    </i>
    <i i="4">
      <x v="4"/>
    </i>
    <i i="5">
      <x v="5"/>
    </i>
  </colItems>
  <pageFields count="2">
    <pageField fld="0" hier="-1"/>
    <pageField fld="3" hier="-1"/>
  </pageFields>
  <dataFields count="6">
    <dataField name="Current Amount" fld="14" baseField="6" baseItem="526" numFmtId="4"/>
    <dataField name="1-30 Amount" fld="15" baseField="6" baseItem="526" numFmtId="4"/>
    <dataField name="31-60 Amount" fld="16" baseField="6" baseItem="526" numFmtId="4"/>
    <dataField name="61-90 Amount" fld="17" baseField="6" baseItem="526" numFmtId="4"/>
    <dataField name="Over 90 Amount" fld="18" baseField="6" baseItem="526" numFmtId="4"/>
    <dataField name="Total Aged" fld="19" baseField="6" baseItem="526" numFmtId="4"/>
  </dataFields>
  <formats count="24">
    <format dxfId="203">
      <pivotArea type="all" dataOnly="0" outline="0" fieldPosition="0"/>
    </format>
    <format dxfId="202">
      <pivotArea field="6" type="button" dataOnly="0" labelOnly="1" outline="0" axis="axisRow" fieldPosition="0"/>
    </format>
    <format dxfId="201">
      <pivotArea dataOnly="0" labelOnly="1" outline="0" fieldPosition="0">
        <references count="1">
          <reference field="4294967294" count="6">
            <x v="0"/>
            <x v="1"/>
            <x v="2"/>
            <x v="3"/>
            <x v="4"/>
            <x v="5"/>
          </reference>
        </references>
      </pivotArea>
    </format>
    <format dxfId="200">
      <pivotArea field="6" type="button" dataOnly="0" labelOnly="1" outline="0" axis="axisRow" fieldPosition="0"/>
    </format>
    <format dxfId="199">
      <pivotArea dataOnly="0" labelOnly="1" outline="0" fieldPosition="0">
        <references count="1">
          <reference field="4294967294" count="6">
            <x v="0"/>
            <x v="1"/>
            <x v="2"/>
            <x v="3"/>
            <x v="4"/>
            <x v="5"/>
          </reference>
        </references>
      </pivotArea>
    </format>
    <format dxfId="198">
      <pivotArea dataOnly="0" grandRow="1" outline="0" axis="axisRow" fieldPosition="0"/>
    </format>
    <format dxfId="197">
      <pivotArea dataOnly="0" grandRow="1" outline="0" axis="axisRow" fieldPosition="0"/>
    </format>
    <format dxfId="196">
      <pivotArea dataOnly="0" outline="0" fieldPosition="0">
        <references count="1">
          <reference field="4294967294" count="6">
            <x v="0"/>
            <x v="1"/>
            <x v="2"/>
            <x v="3"/>
            <x v="4"/>
            <x v="5"/>
          </reference>
        </references>
      </pivotArea>
    </format>
    <format dxfId="195">
      <pivotArea field="6" type="button" dataOnly="0" labelOnly="1" outline="0" axis="axisRow" fieldPosition="0"/>
    </format>
    <format dxfId="194">
      <pivotArea dataOnly="0" labelOnly="1" outline="0" fieldPosition="0">
        <references count="1">
          <reference field="4294967294" count="6">
            <x v="0"/>
            <x v="1"/>
            <x v="2"/>
            <x v="3"/>
            <x v="4"/>
            <x v="5"/>
          </reference>
        </references>
      </pivotArea>
    </format>
    <format dxfId="193">
      <pivotArea grandRow="1" outline="0" collapsedLevelsAreSubtotals="1" fieldPosition="0"/>
    </format>
    <format dxfId="192">
      <pivotArea dataOnly="0" labelOnly="1" grandRow="1" outline="0" fieldPosition="0"/>
    </format>
    <format dxfId="191">
      <pivotArea outline="0" fieldPosition="0">
        <references count="1">
          <reference field="4294967294" count="1">
            <x v="0"/>
          </reference>
        </references>
      </pivotArea>
    </format>
    <format dxfId="190">
      <pivotArea outline="0" fieldPosition="0">
        <references count="1">
          <reference field="4294967294" count="1">
            <x v="1"/>
          </reference>
        </references>
      </pivotArea>
    </format>
    <format dxfId="189">
      <pivotArea outline="0" fieldPosition="0">
        <references count="1">
          <reference field="4294967294" count="1">
            <x v="2"/>
          </reference>
        </references>
      </pivotArea>
    </format>
    <format dxfId="188">
      <pivotArea outline="0" fieldPosition="0">
        <references count="1">
          <reference field="4294967294" count="1">
            <x v="3"/>
          </reference>
        </references>
      </pivotArea>
    </format>
    <format dxfId="187">
      <pivotArea outline="0" fieldPosition="0">
        <references count="1">
          <reference field="4294967294" count="1">
            <x v="4"/>
          </reference>
        </references>
      </pivotArea>
    </format>
    <format dxfId="186">
      <pivotArea outline="0" fieldPosition="0">
        <references count="1">
          <reference field="4294967294" count="1">
            <x v="5"/>
          </reference>
        </references>
      </pivotArea>
    </format>
    <format dxfId="185">
      <pivotArea outline="0" fieldPosition="0">
        <references count="1">
          <reference field="4294967294" count="1">
            <x v="0"/>
          </reference>
        </references>
      </pivotArea>
    </format>
    <format dxfId="184">
      <pivotArea outline="0" fieldPosition="0">
        <references count="1">
          <reference field="4294967294" count="1">
            <x v="1"/>
          </reference>
        </references>
      </pivotArea>
    </format>
    <format dxfId="183">
      <pivotArea outline="0" fieldPosition="0">
        <references count="1">
          <reference field="4294967294" count="1">
            <x v="2"/>
          </reference>
        </references>
      </pivotArea>
    </format>
    <format dxfId="182">
      <pivotArea outline="0" fieldPosition="0">
        <references count="1">
          <reference field="4294967294" count="1">
            <x v="3"/>
          </reference>
        </references>
      </pivotArea>
    </format>
    <format dxfId="181">
      <pivotArea outline="0" fieldPosition="0">
        <references count="1">
          <reference field="4294967294" count="1">
            <x v="4"/>
          </reference>
        </references>
      </pivotArea>
    </format>
    <format dxfId="180">
      <pivotArea outline="0" fieldPosition="0">
        <references count="1">
          <reference field="4294967294" count="1">
            <x v="5"/>
          </reference>
        </references>
      </pivotArea>
    </format>
  </formats>
  <conditionalFormats count="4">
    <conditionalFormat type="all" priority="4">
      <pivotAreas count="1">
        <pivotArea type="data" outline="0" collapsedLevelsAreSubtotals="1" fieldPosition="0">
          <references count="2">
            <reference field="4294967294" count="1" selected="0">
              <x v="5"/>
            </reference>
            <reference field="6" count="720" selected="0">
              <x v="0"/>
              <x v="1"/>
              <x v="2"/>
              <x v="3"/>
              <x v="4"/>
              <x v="5"/>
              <x v="6"/>
              <x v="7"/>
              <x v="8"/>
              <x v="9"/>
              <x v="10"/>
              <x v="11"/>
              <x v="12"/>
              <x v="13"/>
              <x v="14"/>
              <x v="16"/>
              <x v="17"/>
              <x v="18"/>
              <x v="19"/>
              <x v="23"/>
              <x v="26"/>
              <x v="27"/>
              <x v="28"/>
              <x v="29"/>
              <x v="30"/>
              <x v="31"/>
              <x v="32"/>
              <x v="33"/>
              <x v="35"/>
              <x v="36"/>
              <x v="37"/>
              <x v="38"/>
              <x v="39"/>
              <x v="40"/>
              <x v="41"/>
              <x v="42"/>
              <x v="43"/>
              <x v="44"/>
              <x v="45"/>
              <x v="46"/>
              <x v="47"/>
              <x v="48"/>
              <x v="50"/>
              <x v="51"/>
              <x v="52"/>
              <x v="53"/>
              <x v="54"/>
              <x v="55"/>
              <x v="56"/>
              <x v="57"/>
              <x v="58"/>
              <x v="60"/>
              <x v="61"/>
              <x v="62"/>
              <x v="63"/>
              <x v="64"/>
              <x v="65"/>
              <x v="67"/>
              <x v="68"/>
              <x v="69"/>
              <x v="70"/>
              <x v="71"/>
              <x v="72"/>
              <x v="75"/>
              <x v="76"/>
              <x v="77"/>
              <x v="78"/>
              <x v="79"/>
              <x v="80"/>
              <x v="81"/>
              <x v="83"/>
              <x v="84"/>
              <x v="85"/>
              <x v="86"/>
              <x v="87"/>
              <x v="88"/>
              <x v="89"/>
              <x v="90"/>
              <x v="92"/>
              <x v="93"/>
              <x v="94"/>
              <x v="95"/>
              <x v="96"/>
              <x v="98"/>
              <x v="99"/>
              <x v="100"/>
              <x v="101"/>
              <x v="102"/>
              <x v="103"/>
              <x v="104"/>
              <x v="105"/>
              <x v="106"/>
              <x v="107"/>
              <x v="108"/>
              <x v="109"/>
              <x v="111"/>
              <x v="112"/>
              <x v="113"/>
              <x v="114"/>
              <x v="116"/>
              <x v="117"/>
              <x v="118"/>
              <x v="119"/>
              <x v="120"/>
              <x v="121"/>
              <x v="122"/>
              <x v="123"/>
              <x v="124"/>
              <x v="125"/>
              <x v="126"/>
              <x v="127"/>
              <x v="128"/>
              <x v="129"/>
              <x v="130"/>
              <x v="131"/>
              <x v="133"/>
              <x v="134"/>
              <x v="135"/>
              <x v="136"/>
              <x v="137"/>
              <x v="138"/>
              <x v="139"/>
              <x v="140"/>
              <x v="142"/>
              <x v="143"/>
              <x v="144"/>
              <x v="145"/>
              <x v="146"/>
              <x v="147"/>
              <x v="148"/>
              <x v="150"/>
              <x v="151"/>
              <x v="152"/>
              <x v="153"/>
              <x v="154"/>
              <x v="155"/>
              <x v="156"/>
              <x v="157"/>
              <x v="158"/>
              <x v="159"/>
              <x v="160"/>
              <x v="161"/>
              <x v="162"/>
              <x v="163"/>
              <x v="164"/>
              <x v="165"/>
              <x v="166"/>
              <x v="167"/>
              <x v="168"/>
              <x v="169"/>
              <x v="170"/>
              <x v="171"/>
              <x v="172"/>
              <x v="173"/>
              <x v="174"/>
              <x v="175"/>
              <x v="177"/>
              <x v="178"/>
              <x v="179"/>
              <x v="180"/>
              <x v="181"/>
              <x v="182"/>
              <x v="183"/>
              <x v="184"/>
              <x v="185"/>
              <x v="186"/>
              <x v="187"/>
              <x v="188"/>
              <x v="189"/>
              <x v="190"/>
              <x v="192"/>
              <x v="193"/>
              <x v="194"/>
              <x v="195"/>
              <x v="196"/>
              <x v="198"/>
              <x v="199"/>
              <x v="200"/>
              <x v="201"/>
              <x v="203"/>
              <x v="204"/>
              <x v="205"/>
              <x v="206"/>
              <x v="207"/>
              <x v="208"/>
              <x v="209"/>
              <x v="210"/>
              <x v="211"/>
              <x v="212"/>
              <x v="213"/>
              <x v="214"/>
              <x v="215"/>
              <x v="216"/>
              <x v="217"/>
              <x v="218"/>
              <x v="219"/>
              <x v="220"/>
              <x v="221"/>
              <x v="222"/>
              <x v="223"/>
              <x v="224"/>
              <x v="225"/>
              <x v="226"/>
              <x v="231"/>
              <x v="232"/>
              <x v="234"/>
              <x v="235"/>
              <x v="236"/>
              <x v="237"/>
              <x v="238"/>
              <x v="239"/>
              <x v="240"/>
              <x v="241"/>
              <x v="242"/>
              <x v="243"/>
              <x v="244"/>
              <x v="245"/>
              <x v="246"/>
              <x v="247"/>
              <x v="248"/>
              <x v="249"/>
              <x v="251"/>
              <x v="252"/>
              <x v="253"/>
              <x v="254"/>
              <x v="255"/>
              <x v="256"/>
              <x v="259"/>
              <x v="260"/>
              <x v="261"/>
              <x v="263"/>
              <x v="264"/>
              <x v="265"/>
              <x v="266"/>
              <x v="267"/>
              <x v="268"/>
              <x v="270"/>
              <x v="271"/>
              <x v="272"/>
              <x v="273"/>
              <x v="274"/>
              <x v="276"/>
              <x v="277"/>
              <x v="278"/>
              <x v="279"/>
              <x v="282"/>
              <x v="284"/>
              <x v="286"/>
              <x v="287"/>
              <x v="288"/>
              <x v="289"/>
              <x v="290"/>
              <x v="291"/>
              <x v="293"/>
              <x v="294"/>
              <x v="295"/>
              <x v="296"/>
              <x v="297"/>
              <x v="298"/>
              <x v="299"/>
              <x v="300"/>
              <x v="301"/>
              <x v="302"/>
              <x v="303"/>
              <x v="304"/>
              <x v="305"/>
              <x v="306"/>
              <x v="308"/>
              <x v="309"/>
              <x v="310"/>
              <x v="311"/>
              <x v="312"/>
              <x v="313"/>
              <x v="315"/>
              <x v="316"/>
              <x v="317"/>
              <x v="318"/>
              <x v="319"/>
              <x v="320"/>
              <x v="321"/>
              <x v="322"/>
              <x v="323"/>
              <x v="324"/>
              <x v="325"/>
              <x v="326"/>
              <x v="327"/>
              <x v="328"/>
              <x v="329"/>
              <x v="330"/>
              <x v="331"/>
              <x v="332"/>
              <x v="333"/>
              <x v="334"/>
              <x v="335"/>
              <x v="336"/>
              <x v="337"/>
              <x v="338"/>
              <x v="340"/>
              <x v="341"/>
              <x v="342"/>
              <x v="344"/>
              <x v="345"/>
              <x v="346"/>
              <x v="347"/>
              <x v="348"/>
              <x v="349"/>
              <x v="350"/>
              <x v="351"/>
              <x v="352"/>
              <x v="353"/>
              <x v="355"/>
              <x v="357"/>
              <x v="358"/>
              <x v="359"/>
              <x v="360"/>
              <x v="361"/>
              <x v="362"/>
              <x v="363"/>
              <x v="364"/>
              <x v="365"/>
              <x v="366"/>
              <x v="367"/>
              <x v="368"/>
              <x v="369"/>
              <x v="370"/>
              <x v="371"/>
              <x v="372"/>
              <x v="373"/>
              <x v="374"/>
              <x v="376"/>
              <x v="377"/>
              <x v="378"/>
              <x v="379"/>
              <x v="380"/>
              <x v="381"/>
              <x v="382"/>
              <x v="383"/>
              <x v="384"/>
              <x v="385"/>
              <x v="387"/>
              <x v="388"/>
              <x v="389"/>
              <x v="390"/>
              <x v="391"/>
              <x v="392"/>
              <x v="393"/>
              <x v="394"/>
              <x v="395"/>
              <x v="396"/>
              <x v="397"/>
              <x v="398"/>
              <x v="399"/>
              <x v="403"/>
              <x v="405"/>
              <x v="406"/>
              <x v="407"/>
              <x v="408"/>
              <x v="410"/>
              <x v="411"/>
              <x v="412"/>
              <x v="413"/>
              <x v="414"/>
              <x v="415"/>
              <x v="416"/>
              <x v="417"/>
              <x v="418"/>
              <x v="419"/>
              <x v="420"/>
              <x v="421"/>
              <x v="423"/>
              <x v="424"/>
              <x v="425"/>
              <x v="427"/>
              <x v="428"/>
              <x v="429"/>
              <x v="430"/>
              <x v="431"/>
              <x v="432"/>
              <x v="433"/>
              <x v="435"/>
              <x v="436"/>
              <x v="437"/>
              <x v="438"/>
              <x v="440"/>
              <x v="441"/>
              <x v="442"/>
              <x v="444"/>
              <x v="445"/>
              <x v="446"/>
              <x v="447"/>
              <x v="448"/>
              <x v="449"/>
              <x v="451"/>
              <x v="452"/>
              <x v="453"/>
              <x v="454"/>
              <x v="455"/>
              <x v="456"/>
              <x v="457"/>
              <x v="458"/>
              <x v="459"/>
              <x v="460"/>
              <x v="461"/>
              <x v="462"/>
              <x v="463"/>
              <x v="464"/>
              <x v="465"/>
              <x v="467"/>
              <x v="468"/>
              <x v="469"/>
              <x v="471"/>
              <x v="472"/>
              <x v="473"/>
              <x v="474"/>
              <x v="476"/>
              <x v="477"/>
              <x v="478"/>
              <x v="480"/>
              <x v="481"/>
              <x v="482"/>
              <x v="483"/>
              <x v="484"/>
              <x v="485"/>
              <x v="486"/>
              <x v="487"/>
              <x v="488"/>
              <x v="489"/>
              <x v="490"/>
              <x v="491"/>
              <x v="492"/>
              <x v="493"/>
              <x v="494"/>
              <x v="495"/>
              <x v="496"/>
              <x v="497"/>
              <x v="498"/>
              <x v="499"/>
              <x v="500"/>
              <x v="501"/>
              <x v="502"/>
              <x v="503"/>
              <x v="505"/>
              <x v="506"/>
              <x v="507"/>
              <x v="508"/>
              <x v="509"/>
              <x v="511"/>
              <x v="512"/>
              <x v="513"/>
              <x v="514"/>
              <x v="515"/>
              <x v="516"/>
              <x v="518"/>
              <x v="519"/>
              <x v="520"/>
              <x v="521"/>
              <x v="522"/>
              <x v="523"/>
              <x v="524"/>
              <x v="525"/>
              <x v="526"/>
              <x v="527"/>
              <x v="528"/>
              <x v="529"/>
              <x v="530"/>
              <x v="531"/>
              <x v="532"/>
              <x v="533"/>
              <x v="534"/>
              <x v="535"/>
              <x v="536"/>
              <x v="537"/>
              <x v="538"/>
              <x v="539"/>
              <x v="540"/>
              <x v="542"/>
              <x v="544"/>
              <x v="545"/>
              <x v="546"/>
              <x v="547"/>
              <x v="548"/>
              <x v="549"/>
              <x v="550"/>
              <x v="551"/>
              <x v="553"/>
              <x v="554"/>
              <x v="555"/>
              <x v="556"/>
              <x v="558"/>
              <x v="559"/>
              <x v="560"/>
              <x v="561"/>
              <x v="562"/>
              <x v="563"/>
              <x v="564"/>
              <x v="565"/>
              <x v="566"/>
              <x v="567"/>
              <x v="568"/>
              <x v="569"/>
              <x v="570"/>
              <x v="571"/>
              <x v="572"/>
              <x v="573"/>
              <x v="574"/>
              <x v="575"/>
              <x v="576"/>
              <x v="577"/>
              <x v="578"/>
              <x v="579"/>
              <x v="580"/>
              <x v="581"/>
              <x v="582"/>
              <x v="583"/>
              <x v="584"/>
              <x v="585"/>
              <x v="587"/>
              <x v="588"/>
              <x v="589"/>
              <x v="590"/>
              <x v="592"/>
              <x v="594"/>
              <x v="595"/>
              <x v="596"/>
              <x v="597"/>
              <x v="598"/>
              <x v="599"/>
              <x v="600"/>
              <x v="601"/>
              <x v="602"/>
              <x v="603"/>
              <x v="604"/>
              <x v="605"/>
              <x v="606"/>
              <x v="607"/>
              <x v="608"/>
              <x v="609"/>
              <x v="610"/>
              <x v="611"/>
              <x v="612"/>
              <x v="613"/>
              <x v="614"/>
              <x v="615"/>
              <x v="616"/>
              <x v="617"/>
              <x v="618"/>
              <x v="619"/>
              <x v="620"/>
              <x v="621"/>
              <x v="622"/>
              <x v="623"/>
              <x v="624"/>
              <x v="625"/>
              <x v="626"/>
              <x v="627"/>
              <x v="628"/>
              <x v="629"/>
              <x v="630"/>
              <x v="631"/>
              <x v="633"/>
              <x v="634"/>
              <x v="635"/>
              <x v="636"/>
              <x v="637"/>
              <x v="638"/>
              <x v="640"/>
              <x v="641"/>
              <x v="642"/>
              <x v="643"/>
              <x v="644"/>
              <x v="645"/>
              <x v="646"/>
              <x v="647"/>
              <x v="648"/>
              <x v="649"/>
              <x v="650"/>
              <x v="651"/>
              <x v="652"/>
              <x v="653"/>
              <x v="654"/>
              <x v="655"/>
              <x v="656"/>
              <x v="657"/>
              <x v="658"/>
              <x v="659"/>
              <x v="660"/>
              <x v="661"/>
              <x v="662"/>
              <x v="663"/>
              <x v="664"/>
              <x v="665"/>
              <x v="666"/>
              <x v="667"/>
              <x v="668"/>
              <x v="669"/>
              <x v="670"/>
              <x v="671"/>
              <x v="673"/>
              <x v="674"/>
              <x v="676"/>
              <x v="678"/>
              <x v="679"/>
              <x v="680"/>
              <x v="681"/>
              <x v="682"/>
              <x v="683"/>
              <x v="684"/>
              <x v="685"/>
              <x v="686"/>
              <x v="687"/>
              <x v="688"/>
              <x v="689"/>
              <x v="690"/>
              <x v="691"/>
              <x v="692"/>
              <x v="693"/>
              <x v="694"/>
              <x v="695"/>
              <x v="696"/>
              <x v="697"/>
              <x v="698"/>
              <x v="700"/>
              <x v="701"/>
              <x v="703"/>
              <x v="704"/>
              <x v="705"/>
              <x v="706"/>
              <x v="707"/>
              <x v="708"/>
              <x v="709"/>
              <x v="710"/>
              <x v="711"/>
              <x v="713"/>
              <x v="714"/>
              <x v="715"/>
              <x v="716"/>
              <x v="717"/>
              <x v="718"/>
              <x v="722"/>
              <x v="723"/>
              <x v="724"/>
              <x v="725"/>
              <x v="726"/>
              <x v="727"/>
              <x v="730"/>
              <x v="731"/>
              <x v="732"/>
              <x v="734"/>
              <x v="735"/>
              <x v="736"/>
              <x v="737"/>
              <x v="738"/>
              <x v="740"/>
              <x v="743"/>
              <x v="744"/>
              <x v="747"/>
              <x v="748"/>
              <x v="749"/>
              <x v="750"/>
              <x v="751"/>
              <x v="756"/>
              <x v="759"/>
              <x v="760"/>
              <x v="761"/>
              <x v="762"/>
              <x v="768"/>
              <x v="769"/>
              <x v="773"/>
              <x v="775"/>
              <x v="780"/>
              <x v="782"/>
              <x v="783"/>
              <x v="784"/>
              <x v="785"/>
              <x v="789"/>
              <x v="790"/>
              <x v="791"/>
              <x v="792"/>
              <x v="794"/>
              <x v="796"/>
              <x v="799"/>
              <x v="800"/>
              <x v="801"/>
              <x v="805"/>
              <x v="806"/>
              <x v="809"/>
              <x v="810"/>
              <x v="811"/>
              <x v="813"/>
              <x v="816"/>
              <x v="817"/>
              <x v="819"/>
              <x v="822"/>
              <x v="823"/>
              <x v="826"/>
              <x v="832"/>
              <x v="833"/>
              <x v="835"/>
              <x v="838"/>
              <x v="841"/>
              <x v="843"/>
              <x v="844"/>
              <x v="848"/>
              <x v="851"/>
              <x v="854"/>
              <x v="858"/>
              <x v="862"/>
              <x v="863"/>
              <x v="865"/>
              <x v="866"/>
              <x v="869"/>
              <x v="878"/>
              <x v="882"/>
              <x v="884"/>
              <x v="891"/>
              <x v="892"/>
              <x v="893"/>
              <x v="901"/>
              <x v="906"/>
              <x v="907"/>
            </reference>
          </references>
        </pivotArea>
      </pivotAreas>
    </conditionalFormat>
    <conditionalFormat type="all" priority="3">
      <pivotAreas count="1">
        <pivotArea type="data" outline="0" collapsedLevelsAreSubtotals="1" fieldPosition="0">
          <references count="2">
            <reference field="4294967294" count="1" selected="0">
              <x v="5"/>
            </reference>
            <reference field="6" count="908" selected="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x v="900"/>
              <x v="901"/>
              <x v="902"/>
              <x v="903"/>
              <x v="904"/>
              <x v="905"/>
              <x v="906"/>
              <x v="907"/>
            </reference>
          </references>
        </pivotArea>
      </pivotAreas>
    </conditionalFormat>
    <conditionalFormat type="all" priority="2">
      <pivotAreas count="1">
        <pivotArea type="data" outline="0" collapsedLevelsAreSubtotals="1" fieldPosition="0">
          <references count="2">
            <reference field="4294967294" count="1" selected="0">
              <x v="5"/>
            </reference>
            <reference field="6" count="1083" selected="0">
              <x v="0"/>
              <x v="2"/>
              <x v="3"/>
              <x v="4"/>
              <x v="5"/>
              <x v="6"/>
              <x v="7"/>
              <x v="8"/>
              <x v="9"/>
              <x v="10"/>
              <x v="11"/>
              <x v="12"/>
              <x v="13"/>
              <x v="14"/>
              <x v="16"/>
              <x v="17"/>
              <x v="18"/>
              <x v="19"/>
              <x v="20"/>
              <x v="23"/>
              <x v="24"/>
              <x v="25"/>
              <x v="26"/>
              <x v="27"/>
              <x v="28"/>
              <x v="29"/>
              <x v="30"/>
              <x v="31"/>
              <x v="32"/>
              <x v="33"/>
              <x v="34"/>
              <x v="35"/>
              <x v="36"/>
              <x v="37"/>
              <x v="38"/>
              <x v="39"/>
              <x v="40"/>
              <x v="41"/>
              <x v="42"/>
              <x v="43"/>
              <x v="44"/>
              <x v="45"/>
              <x v="46"/>
              <x v="47"/>
              <x v="48"/>
              <x v="50"/>
              <x v="51"/>
              <x v="52"/>
              <x v="53"/>
              <x v="54"/>
              <x v="55"/>
              <x v="56"/>
              <x v="57"/>
              <x v="58"/>
              <x v="59"/>
              <x v="60"/>
              <x v="61"/>
              <x v="62"/>
              <x v="63"/>
              <x v="64"/>
              <x v="65"/>
              <x v="66"/>
              <x v="67"/>
              <x v="68"/>
              <x v="69"/>
              <x v="70"/>
              <x v="71"/>
              <x v="72"/>
              <x v="75"/>
              <x v="76"/>
              <x v="77"/>
              <x v="78"/>
              <x v="79"/>
              <x v="80"/>
              <x v="81"/>
              <x v="82"/>
              <x v="83"/>
              <x v="84"/>
              <x v="85"/>
              <x v="86"/>
              <x v="87"/>
              <x v="88"/>
              <x v="89"/>
              <x v="90"/>
              <x v="91"/>
              <x v="92"/>
              <x v="93"/>
              <x v="94"/>
              <x v="95"/>
              <x v="96"/>
              <x v="98"/>
              <x v="99"/>
              <x v="100"/>
              <x v="101"/>
              <x v="102"/>
              <x v="103"/>
              <x v="104"/>
              <x v="105"/>
              <x v="106"/>
              <x v="107"/>
              <x v="108"/>
              <x v="109"/>
              <x v="110"/>
              <x v="111"/>
              <x v="112"/>
              <x v="113"/>
              <x v="114"/>
              <x v="115"/>
              <x v="116"/>
              <x v="117"/>
              <x v="118"/>
              <x v="119"/>
              <x v="120"/>
              <x v="121"/>
              <x v="122"/>
              <x v="123"/>
              <x v="124"/>
              <x v="125"/>
              <x v="126"/>
              <x v="127"/>
              <x v="128"/>
              <x v="129"/>
              <x v="130"/>
              <x v="131"/>
              <x v="133"/>
              <x v="134"/>
              <x v="135"/>
              <x v="136"/>
              <x v="137"/>
              <x v="138"/>
              <x v="139"/>
              <x v="140"/>
              <x v="141"/>
              <x v="142"/>
              <x v="143"/>
              <x v="144"/>
              <x v="145"/>
              <x v="146"/>
              <x v="147"/>
              <x v="148"/>
              <x v="150"/>
              <x v="151"/>
              <x v="152"/>
              <x v="153"/>
              <x v="154"/>
              <x v="155"/>
              <x v="156"/>
              <x v="157"/>
              <x v="158"/>
              <x v="159"/>
              <x v="160"/>
              <x v="161"/>
              <x v="162"/>
              <x v="163"/>
              <x v="164"/>
              <x v="165"/>
              <x v="166"/>
              <x v="167"/>
              <x v="168"/>
              <x v="169"/>
              <x v="170"/>
              <x v="171"/>
              <x v="172"/>
              <x v="173"/>
              <x v="174"/>
              <x v="175"/>
              <x v="177"/>
              <x v="178"/>
              <x v="179"/>
              <x v="180"/>
              <x v="181"/>
              <x v="182"/>
              <x v="183"/>
              <x v="184"/>
              <x v="185"/>
              <x v="186"/>
              <x v="187"/>
              <x v="188"/>
              <x v="189"/>
              <x v="190"/>
              <x v="192"/>
              <x v="193"/>
              <x v="194"/>
              <x v="195"/>
              <x v="196"/>
              <x v="198"/>
              <x v="199"/>
              <x v="200"/>
              <x v="201"/>
              <x v="202"/>
              <x v="203"/>
              <x v="204"/>
              <x v="205"/>
              <x v="206"/>
              <x v="207"/>
              <x v="208"/>
              <x v="209"/>
              <x v="210"/>
              <x v="211"/>
              <x v="212"/>
              <x v="213"/>
              <x v="214"/>
              <x v="215"/>
              <x v="216"/>
              <x v="217"/>
              <x v="218"/>
              <x v="219"/>
              <x v="221"/>
              <x v="222"/>
              <x v="223"/>
              <x v="224"/>
              <x v="225"/>
              <x v="226"/>
              <x v="227"/>
              <x v="228"/>
              <x v="230"/>
              <x v="231"/>
              <x v="232"/>
              <x v="233"/>
              <x v="234"/>
              <x v="235"/>
              <x v="236"/>
              <x v="237"/>
              <x v="238"/>
              <x v="239"/>
              <x v="240"/>
              <x v="241"/>
              <x v="242"/>
              <x v="244"/>
              <x v="245"/>
              <x v="246"/>
              <x v="247"/>
              <x v="248"/>
              <x v="249"/>
              <x v="251"/>
              <x v="252"/>
              <x v="253"/>
              <x v="254"/>
              <x v="255"/>
              <x v="256"/>
              <x v="257"/>
              <x v="259"/>
              <x v="260"/>
              <x v="261"/>
              <x v="263"/>
              <x v="264"/>
              <x v="265"/>
              <x v="266"/>
              <x v="267"/>
              <x v="268"/>
              <x v="270"/>
              <x v="271"/>
              <x v="272"/>
              <x v="273"/>
              <x v="274"/>
              <x v="276"/>
              <x v="278"/>
              <x v="279"/>
              <x v="281"/>
              <x v="282"/>
              <x v="284"/>
              <x v="285"/>
              <x v="286"/>
              <x v="287"/>
              <x v="288"/>
              <x v="289"/>
              <x v="290"/>
              <x v="291"/>
              <x v="292"/>
              <x v="293"/>
              <x v="294"/>
              <x v="295"/>
              <x v="296"/>
              <x v="297"/>
              <x v="298"/>
              <x v="299"/>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x v="350"/>
              <x v="351"/>
              <x v="352"/>
              <x v="353"/>
              <x v="354"/>
              <x v="355"/>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x v="400"/>
              <x v="401"/>
              <x v="402"/>
              <x v="403"/>
              <x v="405"/>
              <x v="406"/>
              <x v="408"/>
              <x v="410"/>
              <x v="411"/>
              <x v="412"/>
              <x v="414"/>
              <x v="415"/>
              <x v="417"/>
              <x v="418"/>
              <x v="419"/>
              <x v="420"/>
              <x v="421"/>
              <x v="422"/>
              <x v="423"/>
              <x v="424"/>
              <x v="425"/>
              <x v="427"/>
              <x v="428"/>
              <x v="429"/>
              <x v="430"/>
              <x v="431"/>
              <x v="432"/>
              <x v="433"/>
              <x v="435"/>
              <x v="436"/>
              <x v="437"/>
              <x v="438"/>
              <x v="439"/>
              <x v="440"/>
              <x v="441"/>
              <x v="442"/>
              <x v="443"/>
              <x v="444"/>
              <x v="445"/>
              <x v="446"/>
              <x v="447"/>
              <x v="448"/>
              <x v="449"/>
              <x v="450"/>
              <x v="451"/>
              <x v="452"/>
              <x v="453"/>
              <x v="454"/>
              <x v="455"/>
              <x v="456"/>
              <x v="457"/>
              <x v="458"/>
              <x v="459"/>
              <x v="460"/>
              <x v="461"/>
              <x v="462"/>
              <x v="464"/>
              <x v="465"/>
              <x v="466"/>
              <x v="467"/>
              <x v="468"/>
              <x v="469"/>
              <x v="470"/>
              <x v="471"/>
              <x v="472"/>
              <x v="473"/>
              <x v="474"/>
              <x v="475"/>
              <x v="476"/>
              <x v="477"/>
              <x v="478"/>
              <x v="481"/>
              <x v="482"/>
              <x v="483"/>
              <x v="484"/>
              <x v="485"/>
              <x v="486"/>
              <x v="487"/>
              <x v="488"/>
              <x v="489"/>
              <x v="490"/>
              <x v="491"/>
              <x v="493"/>
              <x v="494"/>
              <x v="495"/>
              <x v="496"/>
              <x v="497"/>
              <x v="498"/>
              <x v="499"/>
              <x v="500"/>
              <x v="501"/>
              <x v="502"/>
              <x v="503"/>
              <x v="504"/>
              <x v="505"/>
              <x v="506"/>
              <x v="507"/>
              <x v="508"/>
              <x v="509"/>
              <x v="511"/>
              <x v="512"/>
              <x v="513"/>
              <x v="514"/>
              <x v="515"/>
              <x v="516"/>
              <x v="518"/>
              <x v="519"/>
              <x v="520"/>
              <x v="521"/>
              <x v="522"/>
              <x v="523"/>
              <x v="524"/>
              <x v="525"/>
              <x v="526"/>
              <x v="527"/>
              <x v="528"/>
              <x v="529"/>
              <x v="530"/>
              <x v="531"/>
              <x v="532"/>
              <x v="533"/>
              <x v="534"/>
              <x v="535"/>
              <x v="536"/>
              <x v="537"/>
              <x v="538"/>
              <x v="539"/>
              <x v="540"/>
              <x v="541"/>
              <x v="542"/>
              <x v="543"/>
              <x v="544"/>
              <x v="545"/>
              <x v="546"/>
              <x v="547"/>
              <x v="548"/>
              <x v="549"/>
              <x v="550"/>
              <x v="551"/>
              <x v="552"/>
              <x v="553"/>
              <x v="554"/>
              <x v="555"/>
              <x v="556"/>
              <x v="558"/>
              <x v="559"/>
              <x v="560"/>
              <x v="561"/>
              <x v="562"/>
              <x v="563"/>
              <x v="564"/>
              <x v="565"/>
              <x v="566"/>
              <x v="567"/>
              <x v="568"/>
              <x v="569"/>
              <x v="570"/>
              <x v="571"/>
              <x v="572"/>
              <x v="573"/>
              <x v="574"/>
              <x v="575"/>
              <x v="576"/>
              <x v="577"/>
              <x v="578"/>
              <x v="579"/>
              <x v="580"/>
              <x v="581"/>
              <x v="582"/>
              <x v="583"/>
              <x v="584"/>
              <x v="585"/>
              <x v="586"/>
              <x v="587"/>
              <x v="588"/>
              <x v="589"/>
              <x v="590"/>
              <x v="592"/>
              <x v="594"/>
              <x v="595"/>
              <x v="596"/>
              <x v="597"/>
              <x v="598"/>
              <x v="599"/>
              <x v="600"/>
              <x v="601"/>
              <x v="602"/>
              <x v="603"/>
              <x v="604"/>
              <x v="605"/>
              <x v="606"/>
              <x v="607"/>
              <x v="608"/>
              <x v="609"/>
              <x v="610"/>
              <x v="611"/>
              <x v="612"/>
              <x v="613"/>
              <x v="614"/>
              <x v="616"/>
              <x v="617"/>
              <x v="618"/>
              <x v="619"/>
              <x v="620"/>
              <x v="621"/>
              <x v="622"/>
              <x v="623"/>
              <x v="624"/>
              <x v="625"/>
              <x v="626"/>
              <x v="627"/>
              <x v="628"/>
              <x v="629"/>
              <x v="630"/>
              <x v="631"/>
              <x v="633"/>
              <x v="634"/>
              <x v="635"/>
              <x v="636"/>
              <x v="637"/>
              <x v="638"/>
              <x v="639"/>
              <x v="640"/>
              <x v="641"/>
              <x v="642"/>
              <x v="643"/>
              <x v="644"/>
              <x v="645"/>
              <x v="646"/>
              <x v="647"/>
              <x v="648"/>
              <x v="649"/>
              <x v="650"/>
              <x v="651"/>
              <x v="652"/>
              <x v="653"/>
              <x v="654"/>
              <x v="655"/>
              <x v="656"/>
              <x v="657"/>
              <x v="658"/>
              <x v="659"/>
              <x v="660"/>
              <x v="661"/>
              <x v="662"/>
              <x v="663"/>
              <x v="664"/>
              <x v="665"/>
              <x v="666"/>
              <x v="667"/>
              <x v="668"/>
              <x v="669"/>
              <x v="670"/>
              <x v="671"/>
              <x v="673"/>
              <x v="674"/>
              <x v="675"/>
              <x v="676"/>
              <x v="677"/>
              <x v="678"/>
              <x v="680"/>
              <x v="681"/>
              <x v="682"/>
              <x v="683"/>
              <x v="684"/>
              <x v="686"/>
              <x v="687"/>
              <x v="688"/>
              <x v="689"/>
              <x v="690"/>
              <x v="691"/>
              <x v="692"/>
              <x v="693"/>
              <x v="694"/>
              <x v="695"/>
              <x v="696"/>
              <x v="697"/>
              <x v="699"/>
              <x v="700"/>
              <x v="701"/>
              <x v="703"/>
              <x v="704"/>
              <x v="705"/>
              <x v="706"/>
              <x v="707"/>
              <x v="708"/>
              <x v="709"/>
              <x v="710"/>
              <x v="711"/>
              <x v="712"/>
              <x v="713"/>
              <x v="714"/>
              <x v="715"/>
              <x v="716"/>
              <x v="717"/>
              <x v="718"/>
              <x v="719"/>
              <x v="720"/>
              <x v="721"/>
              <x v="724"/>
              <x v="725"/>
              <x v="726"/>
              <x v="727"/>
              <x v="728"/>
              <x v="730"/>
              <x v="731"/>
              <x v="732"/>
              <x v="734"/>
              <x v="735"/>
              <x v="736"/>
              <x v="737"/>
              <x v="739"/>
              <x v="741"/>
              <x v="742"/>
              <x v="743"/>
              <x v="744"/>
              <x v="745"/>
              <x v="746"/>
              <x v="748"/>
              <x v="749"/>
              <x v="750"/>
              <x v="751"/>
              <x v="753"/>
              <x v="755"/>
              <x v="756"/>
              <x v="757"/>
              <x v="758"/>
              <x v="759"/>
              <x v="760"/>
              <x v="761"/>
              <x v="762"/>
              <x v="763"/>
              <x v="764"/>
              <x v="765"/>
              <x v="766"/>
              <x v="768"/>
              <x v="769"/>
              <x v="771"/>
              <x v="772"/>
              <x v="773"/>
              <x v="774"/>
              <x v="775"/>
              <x v="777"/>
              <x v="779"/>
              <x v="782"/>
              <x v="783"/>
              <x v="784"/>
              <x v="785"/>
              <x v="787"/>
              <x v="789"/>
              <x v="791"/>
              <x v="792"/>
              <x v="793"/>
              <x v="794"/>
              <x v="795"/>
              <x v="796"/>
              <x v="797"/>
              <x v="799"/>
              <x v="800"/>
              <x v="801"/>
              <x v="802"/>
              <x v="804"/>
              <x v="805"/>
              <x v="806"/>
              <x v="807"/>
              <x v="809"/>
              <x v="810"/>
              <x v="811"/>
              <x v="813"/>
              <x v="816"/>
              <x v="819"/>
              <x v="821"/>
              <x v="822"/>
              <x v="823"/>
              <x v="824"/>
              <x v="825"/>
              <x v="826"/>
              <x v="827"/>
              <x v="832"/>
              <x v="833"/>
              <x v="835"/>
              <x v="836"/>
              <x v="837"/>
              <x v="838"/>
              <x v="839"/>
              <x v="841"/>
              <x v="843"/>
              <x v="844"/>
              <x v="846"/>
              <x v="848"/>
              <x v="850"/>
              <x v="851"/>
              <x v="855"/>
              <x v="866"/>
              <x v="867"/>
              <x v="869"/>
              <x v="870"/>
              <x v="876"/>
              <x v="878"/>
              <x v="881"/>
              <x v="882"/>
              <x v="885"/>
              <x v="888"/>
              <x v="891"/>
              <x v="892"/>
              <x v="895"/>
              <x v="898"/>
              <x v="899"/>
              <x v="901"/>
              <x v="902"/>
              <x v="903"/>
              <x v="904"/>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x v="1000"/>
              <x v="1001"/>
              <x v="1002"/>
              <x v="1003"/>
              <x v="1004"/>
              <x v="1005"/>
              <x v="1006"/>
              <x v="1007"/>
              <x v="1008"/>
              <x v="1009"/>
              <x v="1010"/>
              <x v="1011"/>
              <x v="1012"/>
              <x v="1013"/>
              <x v="1014"/>
              <x v="1015"/>
              <x v="1016"/>
              <x v="1017"/>
              <x v="1018"/>
              <x v="1019"/>
              <x v="1020"/>
              <x v="1021"/>
              <x v="1022"/>
              <x v="1023"/>
              <x v="1024"/>
              <x v="1025"/>
              <x v="1026"/>
              <x v="1027"/>
              <x v="1028"/>
              <x v="1029"/>
              <x v="1030"/>
              <x v="1031"/>
              <x v="1032"/>
              <x v="1033"/>
              <x v="1034"/>
              <x v="1035"/>
              <x v="1036"/>
              <x v="1037"/>
              <x v="1038"/>
              <x v="1039"/>
              <x v="1040"/>
              <x v="1041"/>
              <x v="1042"/>
              <x v="1043"/>
              <x v="1044"/>
              <x v="1045"/>
              <x v="1046"/>
              <x v="1047"/>
              <x v="1048"/>
              <x v="1049"/>
              <x v="1050"/>
              <x v="1051"/>
              <x v="1052"/>
              <x v="1053"/>
              <x v="1054"/>
              <x v="1055"/>
              <x v="1056"/>
              <x v="1057"/>
              <x v="1058"/>
              <x v="1059"/>
              <x v="1060"/>
              <x v="1061"/>
              <x v="1062"/>
              <x v="1063"/>
              <x v="1064"/>
              <x v="1065"/>
              <x v="1066"/>
              <x v="1067"/>
              <x v="1068"/>
              <x v="1069"/>
              <x v="1070"/>
              <x v="1071"/>
              <x v="1072"/>
              <x v="1073"/>
              <x v="1074"/>
              <x v="1075"/>
              <x v="1076"/>
              <x v="1077"/>
              <x v="1078"/>
              <x v="1079"/>
              <x v="1080"/>
              <x v="1081"/>
              <x v="1082"/>
              <x v="1083"/>
              <x v="1084"/>
              <x v="1085"/>
              <x v="1086"/>
              <x v="1087"/>
              <x v="1088"/>
              <x v="1089"/>
              <x v="1090"/>
              <x v="1091"/>
              <x v="1092"/>
              <x v="1093"/>
              <x v="1094"/>
              <x v="1095"/>
              <x v="1096"/>
              <x v="1097"/>
              <x v="1098"/>
              <x v="1099"/>
              <x v="1100"/>
              <x v="1101"/>
              <x v="1102"/>
              <x v="1103"/>
              <x v="1104"/>
              <x v="1105"/>
              <x v="1106"/>
              <x v="1107"/>
              <x v="1108"/>
              <x v="1109"/>
              <x v="1110"/>
              <x v="1111"/>
              <x v="1112"/>
              <x v="1113"/>
              <x v="1114"/>
              <x v="1115"/>
              <x v="1116"/>
              <x v="1117"/>
              <x v="1118"/>
              <x v="1119"/>
              <x v="1120"/>
              <x v="1121"/>
              <x v="1122"/>
              <x v="1123"/>
              <x v="1124"/>
              <x v="1125"/>
              <x v="1126"/>
              <x v="1127"/>
              <x v="1128"/>
              <x v="1129"/>
              <x v="1130"/>
              <x v="1131"/>
              <x v="1132"/>
              <x v="1133"/>
              <x v="1134"/>
              <x v="1135"/>
              <x v="1136"/>
              <x v="1137"/>
              <x v="1138"/>
              <x v="1139"/>
              <x v="1140"/>
              <x v="1141"/>
              <x v="1142"/>
              <x v="1143"/>
              <x v="1144"/>
              <x v="1145"/>
              <x v="1146"/>
              <x v="1147"/>
              <x v="1148"/>
              <x v="1149"/>
              <x v="1150"/>
              <x v="1151"/>
              <x v="1152"/>
              <x v="1153"/>
              <x v="1154"/>
              <x v="1155"/>
              <x v="1156"/>
              <x v="1157"/>
              <x v="1158"/>
              <x v="1159"/>
              <x v="1160"/>
              <x v="1161"/>
              <x v="1162"/>
              <x v="1163"/>
              <x v="1164"/>
              <x v="1165"/>
              <x v="1166"/>
              <x v="1167"/>
              <x v="1168"/>
              <x v="1169"/>
              <x v="1170"/>
              <x v="1171"/>
              <x v="1172"/>
              <x v="1173"/>
              <x v="1174"/>
              <x v="1175"/>
              <x v="1176"/>
              <x v="1177"/>
              <x v="1178"/>
              <x v="1179"/>
              <x v="1180"/>
              <x v="1181"/>
              <x v="1182"/>
              <x v="1183"/>
              <x v="1184"/>
              <x v="1185"/>
              <x v="1186"/>
              <x v="1187"/>
              <x v="1188"/>
              <x v="1189"/>
              <x v="1190"/>
              <x v="1191"/>
              <x v="1192"/>
              <x v="1193"/>
              <x v="1194"/>
              <x v="1195"/>
              <x v="1196"/>
              <x v="1197"/>
              <x v="1198"/>
              <x v="1199"/>
              <x v="1200"/>
              <x v="1201"/>
            </reference>
          </references>
        </pivotArea>
      </pivotAreas>
    </conditionalFormat>
    <conditionalFormat type="all" priority="1">
      <pivotAreas count="1">
        <pivotArea outline="0" fieldPosition="0">
          <references count="1">
            <reference field="4294967294" count="1">
              <x v="5"/>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6" applyNumberFormats="0" applyBorderFormats="0" applyFontFormats="0" applyPatternFormats="0" applyAlignmentFormats="0" applyWidthHeightFormats="1" dataCaption="Values" missingCaption="0" updatedVersion="6" minRefreshableVersion="3" itemPrintTitles="1" createdVersion="5" indent="0" compact="0" compactData="0" multipleFieldFilters="0">
  <location ref="A11:G13" firstHeaderRow="0" firstDataRow="1" firstDataCol="1" rowPageCount="2" colPageCount="1"/>
  <pivotFields count="25">
    <pivotField axis="axisPage" compact="0" outline="0" showAll="0">
      <items count="5">
        <item m="1" x="2"/>
        <item m="1" x="3"/>
        <item m="1" x="1"/>
        <item x="0"/>
        <item t="default"/>
      </items>
    </pivotField>
    <pivotField compact="0" outline="0" showAll="0" defaultSubtotal="0"/>
    <pivotField axis="axisRow" compact="0" outline="0" showAll="0" defaultSubtotal="0">
      <items count="40">
        <item m="1" x="9"/>
        <item m="1" x="38"/>
        <item m="1" x="20"/>
        <item m="1" x="23"/>
        <item m="1" x="10"/>
        <item m="1" x="28"/>
        <item m="1" x="11"/>
        <item m="1" x="32"/>
        <item m="1" x="31"/>
        <item m="1" x="13"/>
        <item m="1" x="27"/>
        <item m="1" x="21"/>
        <item m="1" x="33"/>
        <item m="1" x="19"/>
        <item m="1" x="30"/>
        <item m="1" x="4"/>
        <item m="1" x="8"/>
        <item m="1" x="6"/>
        <item m="1" x="3"/>
        <item m="1" x="15"/>
        <item m="1" x="16"/>
        <item m="1" x="34"/>
        <item m="1" x="25"/>
        <item m="1" x="39"/>
        <item m="1" x="26"/>
        <item m="1" x="14"/>
        <item m="1" x="5"/>
        <item m="1" x="18"/>
        <item m="1" x="1"/>
        <item m="1" x="24"/>
        <item m="1" x="35"/>
        <item m="1" x="37"/>
        <item m="1" x="22"/>
        <item m="1" x="2"/>
        <item m="1" x="12"/>
        <item m="1" x="29"/>
        <item m="1" x="36"/>
        <item m="1" x="7"/>
        <item x="0"/>
        <item m="1" x="17"/>
      </items>
    </pivotField>
    <pivotField axis="axisPage" compact="0" outline="0" showAll="0" sortType="descending">
      <items count="1989">
        <item m="1" x="1"/>
        <item m="1" x="1238"/>
        <item m="1" x="275"/>
        <item m="1" x="60"/>
        <item m="1" x="1401"/>
        <item m="1" x="1579"/>
        <item m="1" x="1307"/>
        <item m="1" x="416"/>
        <item m="1" x="14"/>
        <item m="1" x="796"/>
        <item m="1" x="813"/>
        <item m="1" x="941"/>
        <item m="1" x="608"/>
        <item m="1" x="1384"/>
        <item m="1" x="213"/>
        <item m="1" x="410"/>
        <item m="1" x="1247"/>
        <item m="1" x="694"/>
        <item m="1" x="461"/>
        <item m="1" x="932"/>
        <item m="1" x="1399"/>
        <item m="1" x="193"/>
        <item m="1" x="57"/>
        <item m="1" x="1739"/>
        <item m="1" x="556"/>
        <item m="1" x="1673"/>
        <item m="1" x="862"/>
        <item m="1" x="542"/>
        <item m="1" x="1794"/>
        <item m="1" x="994"/>
        <item m="1" x="724"/>
        <item m="1" x="1311"/>
        <item m="1" x="119"/>
        <item m="1" x="1921"/>
        <item m="1" x="964"/>
        <item m="1" x="1312"/>
        <item m="1" x="21"/>
        <item m="1" x="1221"/>
        <item m="1" x="574"/>
        <item m="1" x="1504"/>
        <item m="1" x="1637"/>
        <item m="1" x="1135"/>
        <item m="1" x="1896"/>
        <item m="1" x="1329"/>
        <item m="1" x="826"/>
        <item m="1" x="232"/>
        <item m="1" x="627"/>
        <item m="1" x="1639"/>
        <item m="1" x="1727"/>
        <item m="1" x="332"/>
        <item m="1" x="174"/>
        <item m="1" x="1933"/>
        <item m="1" x="778"/>
        <item m="1" x="468"/>
        <item m="1" x="1094"/>
        <item m="1" x="1670"/>
        <item m="1" x="1546"/>
        <item m="1" x="1244"/>
        <item m="1" x="737"/>
        <item m="1" x="122"/>
        <item m="1" x="1162"/>
        <item m="1" x="1972"/>
        <item m="1" x="1939"/>
        <item m="1" x="340"/>
        <item m="1" x="577"/>
        <item m="1" x="1576"/>
        <item m="1" x="411"/>
        <item m="1" x="940"/>
        <item m="1" x="158"/>
        <item m="1" x="791"/>
        <item m="1" x="274"/>
        <item m="1" x="291"/>
        <item m="1" x="1236"/>
        <item m="1" x="928"/>
        <item m="1" x="1160"/>
        <item m="1" x="1492"/>
        <item m="1" x="306"/>
        <item m="1" x="792"/>
        <item m="1" x="1690"/>
        <item m="1" x="1449"/>
        <item m="1" x="769"/>
        <item m="1" x="120"/>
        <item m="1" x="515"/>
        <item m="1" x="1293"/>
        <item m="1" x="249"/>
        <item m="1" x="640"/>
        <item m="1" x="481"/>
        <item m="1" x="1189"/>
        <item m="1" x="277"/>
        <item m="1" x="1602"/>
        <item m="1" x="783"/>
        <item m="1" x="1737"/>
        <item m="1" x="1811"/>
        <item m="1" x="781"/>
        <item m="1" x="1949"/>
        <item m="1" x="1283"/>
        <item m="1" x="289"/>
        <item m="1" x="1886"/>
        <item m="1" x="448"/>
        <item m="1" x="1941"/>
        <item m="1" x="795"/>
        <item m="1" x="681"/>
        <item m="1" x="1883"/>
        <item m="1" x="615"/>
        <item m="1" x="1163"/>
        <item m="1" x="1701"/>
        <item m="1" x="1868"/>
        <item m="1" x="1878"/>
        <item m="1" x="1489"/>
        <item m="1" x="39"/>
        <item m="1" x="658"/>
        <item m="1" x="1555"/>
        <item m="1" x="1853"/>
        <item m="1" x="1712"/>
        <item m="1" x="1036"/>
        <item m="1" x="1041"/>
        <item m="1" x="785"/>
        <item m="1" x="1967"/>
        <item m="1" x="818"/>
        <item m="1" x="809"/>
        <item m="1" x="211"/>
        <item m="1" x="951"/>
        <item m="1" x="1196"/>
        <item m="1" x="280"/>
        <item m="1" x="1700"/>
        <item m="1" x="165"/>
        <item m="1" x="971"/>
        <item m="1" x="957"/>
        <item m="1" x="316"/>
        <item m="1" x="1472"/>
        <item m="1" x="517"/>
        <item m="1" x="1840"/>
        <item m="1" x="1704"/>
        <item m="1" x="1170"/>
        <item m="1" x="1629"/>
        <item m="1" x="678"/>
        <item m="1" x="1028"/>
        <item m="1" x="235"/>
        <item m="1" x="817"/>
        <item m="1" x="725"/>
        <item m="1" x="840"/>
        <item m="1" x="1157"/>
        <item m="1" x="1572"/>
        <item m="1" x="1532"/>
        <item m="1" x="1044"/>
        <item m="1" x="669"/>
        <item m="1" x="1392"/>
        <item m="1" x="927"/>
        <item m="1" x="1598"/>
        <item m="1" x="1709"/>
        <item m="1" x="881"/>
        <item m="1" x="1150"/>
        <item m="1" x="236"/>
        <item m="1" x="427"/>
        <item m="1" x="571"/>
        <item m="1" x="1019"/>
        <item m="1" x="512"/>
        <item m="1" x="104"/>
        <item m="1" x="1524"/>
        <item m="1" x="1264"/>
        <item m="1" x="1087"/>
        <item m="1" x="1534"/>
        <item m="1" x="656"/>
        <item m="1" x="599"/>
        <item m="1" x="111"/>
        <item m="1" x="432"/>
        <item m="1" x="540"/>
        <item m="1" x="220"/>
        <item m="1" x="105"/>
        <item m="1" x="1180"/>
        <item m="1" x="1138"/>
        <item m="1" x="579"/>
        <item m="1" x="1963"/>
        <item m="1" x="385"/>
        <item m="1" x="606"/>
        <item m="1" x="1965"/>
        <item m="1" x="648"/>
        <item m="1" x="1680"/>
        <item m="1" x="812"/>
        <item m="1" x="1586"/>
        <item m="1" x="1793"/>
        <item m="1" x="246"/>
        <item m="1" x="708"/>
        <item m="1" x="146"/>
        <item m="1" x="688"/>
        <item m="1" x="61"/>
        <item m="1" x="1268"/>
        <item m="1" x="711"/>
        <item m="1" x="1239"/>
        <item m="1" x="343"/>
        <item m="1" x="420"/>
        <item m="1" x="1756"/>
        <item m="1" x="764"/>
        <item m="1" x="1645"/>
        <item m="1" x="758"/>
        <item m="1" x="1910"/>
        <item m="1" x="86"/>
        <item m="1" x="539"/>
        <item m="1" x="338"/>
        <item m="1" x="1951"/>
        <item m="1" x="1916"/>
        <item m="1" x="34"/>
        <item m="1" x="1885"/>
        <item m="1" x="206"/>
        <item m="1" x="693"/>
        <item m="1" x="1977"/>
        <item m="1" x="1634"/>
        <item m="1" x="1935"/>
        <item m="1" x="989"/>
        <item m="1" x="1751"/>
        <item m="1" x="1386"/>
        <item m="1" x="1907"/>
        <item m="1" x="1179"/>
        <item m="1" x="626"/>
        <item m="1" x="739"/>
        <item m="1" x="1772"/>
        <item m="1" x="1368"/>
        <item m="1" x="650"/>
        <item m="1" x="1523"/>
        <item m="1" x="1675"/>
        <item m="1" x="1270"/>
        <item m="1" x="741"/>
        <item m="1" x="115"/>
        <item m="1" x="1710"/>
        <item m="1" x="1731"/>
        <item m="1" x="184"/>
        <item m="1" x="308"/>
        <item m="1" x="1204"/>
        <item m="1" x="1620"/>
        <item m="1" x="1667"/>
        <item m="1" x="966"/>
        <item m="1" x="808"/>
        <item m="1" x="1522"/>
        <item m="1" x="1433"/>
        <item m="1" x="1269"/>
        <item m="1" x="112"/>
        <item m="1" x="1328"/>
        <item m="1" x="136"/>
        <item m="1" x="570"/>
        <item m="1" x="1589"/>
        <item m="1" x="1557"/>
        <item m="1" x="894"/>
        <item m="1" x="1394"/>
        <item m="1" x="310"/>
        <item m="1" x="915"/>
        <item m="1" x="1678"/>
        <item m="1" x="575"/>
        <item m="1" x="1786"/>
        <item m="1" x="474"/>
        <item m="1" x="1231"/>
        <item m="1" x="1550"/>
        <item m="1" x="288"/>
        <item m="1" x="28"/>
        <item m="1" x="1173"/>
        <item m="1" x="1463"/>
        <item m="1" x="1275"/>
        <item m="1" x="1288"/>
        <item m="1" x="1172"/>
        <item m="1" x="352"/>
        <item m="1" x="1686"/>
        <item m="1" x="1591"/>
        <item m="1" x="1632"/>
        <item m="1" x="1086"/>
        <item m="1" x="1695"/>
        <item m="1" x="400"/>
        <item m="1" x="1722"/>
        <item m="1" x="1356"/>
        <item m="1" x="127"/>
        <item m="1" x="879"/>
        <item m="1" x="1960"/>
        <item m="1" x="1133"/>
        <item m="1" x="328"/>
        <item m="1" x="759"/>
        <item m="1" x="47"/>
        <item m="1" x="1860"/>
        <item m="1" x="1714"/>
        <item m="1" x="1439"/>
        <item m="1" x="541"/>
        <item m="1" x="730"/>
        <item m="1" x="66"/>
        <item m="1" x="1143"/>
        <item m="1" x="1537"/>
        <item m="1" x="487"/>
        <item m="1" x="495"/>
        <item m="1" x="319"/>
        <item m="1" x="970"/>
        <item m="1" x="1290"/>
        <item m="1" x="1038"/>
        <item m="1" x="1533"/>
        <item m="1" x="814"/>
        <item m="1" x="36"/>
        <item m="1" x="1914"/>
        <item m="1" x="465"/>
        <item m="1" x="624"/>
        <item m="1" x="1732"/>
        <item m="1" x="1190"/>
        <item m="1" x="1095"/>
        <item m="1" x="836"/>
        <item m="1" x="912"/>
        <item m="1" x="447"/>
        <item m="1" x="1240"/>
        <item m="1" x="1891"/>
        <item m="1" x="780"/>
        <item m="1" x="660"/>
        <item m="1" x="485"/>
        <item m="1" x="1248"/>
        <item m="1" x="598"/>
        <item m="1" x="1254"/>
        <item m="1" x="913"/>
        <item m="1" x="587"/>
        <item m="1" x="234"/>
        <item m="1" x="1265"/>
        <item m="1" x="1181"/>
        <item m="1" x="1621"/>
        <item m="1" x="423"/>
        <item m="1" x="223"/>
        <item m="1" x="439"/>
        <item m="1" x="991"/>
        <item m="1" x="40"/>
        <item m="1" x="48"/>
        <item m="1" x="157"/>
        <item m="1" x="1889"/>
        <item m="1" x="124"/>
        <item m="1" x="670"/>
        <item m="1" x="707"/>
        <item m="1" x="588"/>
        <item m="1" x="1740"/>
        <item m="1" x="1452"/>
        <item m="1" x="942"/>
        <item m="1" x="199"/>
        <item m="1" x="320"/>
        <item m="1" x="1671"/>
        <item m="1" x="632"/>
        <item m="1" x="1169"/>
        <item m="1" x="663"/>
        <item m="1" x="683"/>
        <item m="1" x="1643"/>
        <item m="1" x="1831"/>
        <item m="1" x="884"/>
        <item m="1" x="552"/>
        <item m="1" x="1134"/>
        <item m="1" x="1012"/>
        <item m="1" x="823"/>
        <item m="1" x="652"/>
        <item m="1" x="1908"/>
        <item m="1" x="1305"/>
        <item m="1" x="298"/>
        <item m="1" x="1622"/>
        <item m="1" x="857"/>
        <item m="1" x="992"/>
        <item m="1" x="936"/>
        <item m="1" x="1887"/>
        <item m="1" x="1108"/>
        <item m="1" x="544"/>
        <item m="1" x="488"/>
        <item m="1" x="1408"/>
        <item m="1" x="455"/>
        <item m="1" x="710"/>
        <item m="1" x="1370"/>
        <item m="1" x="1791"/>
        <item m="1" x="744"/>
        <item m="1" x="947"/>
        <item m="1" x="51"/>
        <item m="1" x="1588"/>
        <item m="1" x="107"/>
        <item m="1" x="1308"/>
        <item m="1" x="163"/>
        <item m="1" x="1825"/>
        <item m="1" x="257"/>
        <item m="1" x="131"/>
        <item m="1" x="166"/>
        <item m="1" x="1435"/>
        <item m="1" x="1864"/>
        <item m="1" x="1148"/>
        <item m="1" x="1491"/>
        <item m="1" x="635"/>
        <item m="1" x="1470"/>
        <item m="1" x="1317"/>
        <item m="1" x="1416"/>
        <item m="1" x="625"/>
        <item m="1" x="641"/>
        <item m="1" x="470"/>
        <item m="1" x="776"/>
        <item m="1" x="85"/>
        <item m="1" x="472"/>
        <item m="1" x="1091"/>
        <item m="1" x="1325"/>
        <item m="1" x="76"/>
        <item m="1" x="1114"/>
        <item m="1" x="1861"/>
        <item m="1" x="996"/>
        <item m="1" x="458"/>
        <item m="1" x="1155"/>
        <item m="1" x="703"/>
        <item m="1" x="623"/>
        <item m="1" x="1158"/>
        <item m="1" x="1213"/>
        <item m="1" x="979"/>
        <item m="1" x="534"/>
        <item m="1" x="1334"/>
        <item m="1" x="522"/>
        <item m="1" x="261"/>
        <item m="1" x="1567"/>
        <item m="1" x="443"/>
        <item m="1" x="2"/>
        <item m="1" x="350"/>
        <item m="1" x="1031"/>
        <item m="1" x="1237"/>
        <item m="1" x="1313"/>
        <item m="1" x="1444"/>
        <item m="1" x="396"/>
        <item m="1" x="345"/>
        <item m="1" x="896"/>
        <item m="1" x="1662"/>
        <item m="1" x="907"/>
        <item m="1" x="842"/>
        <item m="1" x="1002"/>
        <item m="1" x="1723"/>
        <item m="1" x="285"/>
        <item m="1" x="1580"/>
        <item m="1" x="263"/>
        <item m="1" x="904"/>
        <item m="1" x="709"/>
        <item m="1" x="1542"/>
        <item m="1" x="70"/>
        <item m="1" x="1149"/>
        <item m="1" x="1395"/>
        <item m="1" x="1465"/>
        <item m="1" x="1610"/>
        <item m="1" x="233"/>
        <item m="1" x="831"/>
        <item m="1" x="185"/>
        <item m="1" x="921"/>
        <item m="1" x="359"/>
        <item m="1" x="186"/>
        <item m="1" x="356"/>
        <item m="1" x="843"/>
        <item m="1" x="706"/>
        <item m="1" x="613"/>
        <item m="1" x="782"/>
        <item m="1" x="1792"/>
        <item m="1" x="908"/>
        <item m="1" x="849"/>
        <item m="1" x="914"/>
        <item m="1" x="1699"/>
        <item m="1" x="1549"/>
        <item m="1" x="1775"/>
        <item m="1" x="1511"/>
        <item m="1" x="237"/>
        <item m="1" x="961"/>
        <item m="1" x="959"/>
        <item m="1" x="1547"/>
        <item m="1" x="600"/>
        <item m="1" x="870"/>
        <item m="1" x="1262"/>
        <item m="1" x="471"/>
        <item m="1" x="1424"/>
        <item m="1" x="1077"/>
        <item m="1" x="1218"/>
        <item m="1" x="1952"/>
        <item m="1" x="1877"/>
        <item m="1" x="278"/>
        <item m="1" x="1566"/>
        <item m="1" x="484"/>
        <item m="1" x="1484"/>
        <item m="1" x="248"/>
        <item m="1" x="1651"/>
        <item m="1" x="890"/>
        <item m="1" x="1455"/>
        <item m="1" x="1000"/>
        <item m="1" x="1597"/>
        <item m="1" x="684"/>
        <item m="1" x="335"/>
        <item m="1" x="902"/>
        <item m="1" x="390"/>
        <item m="1" x="1266"/>
        <item m="1" x="194"/>
        <item m="1" x="1604"/>
        <item m="1" x="844"/>
        <item m="1" x="832"/>
        <item m="1" x="1183"/>
        <item m="1" x="1339"/>
        <item m="1" x="1870"/>
        <item m="1" x="1209"/>
        <item m="1" x="944"/>
        <item m="1" x="1205"/>
        <item m="1" x="362"/>
        <item m="1" x="1478"/>
        <item m="1" x="1753"/>
        <item m="1" x="301"/>
        <item m="1" x="1788"/>
        <item m="1" x="762"/>
        <item m="1" x="554"/>
        <item m="1" x="1111"/>
        <item m="1" x="1705"/>
        <item m="1" x="1347"/>
        <item m="1" x="1336"/>
        <item m="1" x="1341"/>
        <item m="1" x="909"/>
        <item m="1" x="716"/>
        <item m="1" x="1803"/>
        <item m="1" x="368"/>
        <item m="1" x="1320"/>
        <item m="1" x="380"/>
        <item m="1" x="452"/>
        <item m="1" x="1052"/>
        <item m="1" x="445"/>
        <item m="1" x="1272"/>
        <item m="1" x="695"/>
        <item m="1" x="553"/>
        <item m="1" x="1894"/>
        <item m="1" x="729"/>
        <item m="1" x="1366"/>
        <item m="1" x="1663"/>
        <item m="1" x="1875"/>
        <item m="1" x="1582"/>
        <item m="1" x="1884"/>
        <item m="1" x="1703"/>
        <item m="1" x="719"/>
        <item m="1" x="3"/>
        <item m="1" x="1129"/>
        <item m="1" x="877"/>
        <item m="1" x="79"/>
        <item m="1" x="281"/>
        <item m="1" x="1467"/>
        <item m="1" x="578"/>
        <item m="1" x="869"/>
        <item m="1" x="1137"/>
        <item m="1" x="1106"/>
        <item m="1" x="1749"/>
        <item m="1" x="1653"/>
        <item m="1" x="1790"/>
        <item m="1" x="699"/>
        <item m="1" x="1928"/>
        <item m="1" x="1097"/>
        <item m="1" x="1402"/>
        <item m="1" x="1214"/>
        <item m="1" x="1326"/>
        <item m="1" x="1881"/>
        <item m="1" x="1176"/>
        <item m="1" x="473"/>
        <item m="1" x="434"/>
        <item m="1" x="1503"/>
        <item m="1" x="1477"/>
        <item m="1" x="78"/>
        <item m="1" x="250"/>
        <item m="1" x="1460"/>
        <item m="1" x="893"/>
        <item m="1" x="496"/>
        <item m="1" x="365"/>
        <item m="1" x="1866"/>
        <item m="1" x="728"/>
        <item m="1" x="856"/>
        <item m="1" x="1331"/>
        <item m="1" x="657"/>
        <item m="1" x="1936"/>
        <item m="1" x="609"/>
        <item m="1" x="1561"/>
        <item m="1" x="1411"/>
        <item m="1" x="1374"/>
        <item m="1" x="1195"/>
        <item m="1" x="1752"/>
        <item m="1" x="1911"/>
        <item m="1" x="1735"/>
        <item m="1" x="55"/>
        <item m="1" x="1076"/>
        <item m="1" x="620"/>
        <item m="1" x="98"/>
        <item m="1" x="1823"/>
        <item m="1" x="1421"/>
        <item m="1" x="327"/>
        <item m="1" x="687"/>
        <item m="1" x="1177"/>
        <item m="1" x="9"/>
        <item m="1" x="646"/>
        <item m="1" x="200"/>
        <item m="1" x="1608"/>
        <item m="1" x="4"/>
        <item m="1" x="100"/>
        <item m="1" x="1276"/>
        <item m="1" x="1090"/>
        <item m="1" x="1852"/>
        <item m="1" x="369"/>
        <item m="1" x="603"/>
        <item m="1" x="1459"/>
        <item m="1" x="1479"/>
        <item m="1" x="1078"/>
        <item m="1" x="1064"/>
        <item m="1" x="851"/>
        <item m="1" x="1626"/>
        <item m="1" x="435"/>
        <item m="1" x="510"/>
        <item m="1" x="824"/>
        <item m="1" x="1318"/>
        <item m="1" x="355"/>
        <item m="1" x="1636"/>
        <item m="1" x="1766"/>
        <item m="1" x="993"/>
        <item m="1" x="456"/>
        <item m="1" x="974"/>
        <item m="1" x="1782"/>
        <item m="1" x="713"/>
        <item m="1" x="895"/>
        <item m="1" x="898"/>
        <item m="1" x="1324"/>
        <item m="1" x="1833"/>
        <item m="1" x="1953"/>
        <item m="1" x="918"/>
        <item m="1" x="1400"/>
        <item m="1" x="925"/>
        <item m="1" x="294"/>
        <item m="1" x="1187"/>
        <item m="1" x="519"/>
        <item m="1" x="800"/>
        <item m="1" x="671"/>
        <item m="1" x="1457"/>
        <item m="1" x="1233"/>
        <item m="1" x="5"/>
        <item m="1" x="11"/>
        <item m="1" x="549"/>
        <item m="1" x="1802"/>
        <item m="1" x="1818"/>
        <item m="1" x="1564"/>
        <item m="1" x="50"/>
        <item m="1" x="946"/>
        <item m="1" x="154"/>
        <item m="1" x="94"/>
        <item m="1" x="290"/>
        <item m="1" x="1796"/>
        <item m="1" x="931"/>
        <item m="1" x="1017"/>
        <item m="1" x="557"/>
        <item m="1" x="426"/>
        <item m="1" x="339"/>
        <item m="1" x="231"/>
        <item m="1" x="402"/>
        <item m="1" x="1075"/>
        <item m="1" x="1301"/>
        <item m="1" x="1627"/>
        <item m="1" x="789"/>
        <item m="1" x="1778"/>
        <item m="1" x="137"/>
        <item m="1" x="1855"/>
        <item m="1" x="1978"/>
        <item m="1" x="1229"/>
        <item m="1" x="1955"/>
        <item m="1" x="865"/>
        <item m="1" x="1291"/>
        <item m="1" x="196"/>
        <item m="1" x="41"/>
        <item m="1" x="830"/>
        <item m="1" x="1482"/>
        <item m="1" x="679"/>
        <item m="1" x="1212"/>
        <item m="1" x="1104"/>
        <item m="1" x="494"/>
        <item m="1" x="1630"/>
        <item m="1" x="1776"/>
        <item m="1" x="201"/>
        <item m="1" x="337"/>
        <item m="1" x="256"/>
        <item m="1" x="1071"/>
        <item m="1" x="1647"/>
        <item m="1" x="637"/>
        <item m="1" x="1186"/>
        <item m="1" x="805"/>
        <item m="1" x="616"/>
        <item m="1" x="1243"/>
        <item m="1" x="1048"/>
        <item m="1" x="252"/>
        <item m="1" x="965"/>
        <item m="1" x="1664"/>
        <item m="1" x="270"/>
        <item m="1" x="1476"/>
        <item m="1" x="1049"/>
        <item m="1" x="1509"/>
        <item m="1" x="803"/>
        <item m="1" x="1920"/>
        <item m="1" x="755"/>
        <item m="1" x="1730"/>
        <item m="1" x="182"/>
        <item m="1" x="431"/>
        <item m="1" x="1474"/>
        <item m="1" x="1918"/>
        <item m="1" x="1512"/>
        <item m="1" x="945"/>
        <item m="1" x="535"/>
        <item m="1" x="1222"/>
        <item m="1" x="1721"/>
        <item m="1" x="1548"/>
        <item m="1" x="864"/>
        <item m="1" x="1340"/>
        <item m="1" x="1915"/>
        <item m="1" x="1762"/>
        <item m="1" x="997"/>
        <item m="1" x="1295"/>
        <item m="1" x="1115"/>
        <item m="1" x="229"/>
        <item m="1" x="18"/>
        <item m="1" x="371"/>
        <item m="1" x="672"/>
        <item m="1" x="491"/>
        <item m="1" x="108"/>
        <item m="1" x="850"/>
        <item m="1" x="1748"/>
        <item m="1" x="1495"/>
        <item m="1" x="260"/>
        <item m="1" x="482"/>
        <item m="1" x="511"/>
        <item m="1" x="1154"/>
        <item m="1" x="1131"/>
        <item m="1" x="880"/>
        <item m="1" x="614"/>
        <item m="1" x="453"/>
        <item m="1" x="190"/>
        <item m="1" x="242"/>
        <item m="1" x="1379"/>
        <item m="1" x="1120"/>
        <item m="1" x="110"/>
        <item m="1" x="1738"/>
        <item m="1" x="518"/>
        <item m="1" x="207"/>
        <item m="1" x="507"/>
        <item m="1" x="1979"/>
        <item m="1" x="1032"/>
        <item m="1" x="373"/>
        <item m="1" x="244"/>
        <item m="1" x="1892"/>
        <item m="1" x="1338"/>
        <item m="1" x="414"/>
        <item m="1" x="1815"/>
        <item m="1" x="1521"/>
        <item m="1" x="386"/>
        <item m="1" x="1300"/>
        <item m="1" x="757"/>
        <item m="1" x="304"/>
        <item m="1" x="1959"/>
        <item m="1" x="1618"/>
        <item m="1" x="1383"/>
        <item m="1" x="790"/>
        <item m="1" x="1922"/>
        <item m="1" x="189"/>
        <item m="1" x="1414"/>
        <item m="1" x="1282"/>
        <item m="1" x="268"/>
        <item m="1" x="953"/>
        <item m="1" x="1623"/>
        <item m="1" x="96"/>
        <item m="1" x="35"/>
        <item m="1" x="1650"/>
        <item m="1" x="149"/>
        <item m="1" x="1850"/>
        <item m="1" x="1185"/>
        <item m="1" x="1079"/>
        <item m="1" x="181"/>
        <item m="1" x="29"/>
        <item m="1" x="205"/>
        <item m="1" x="1223"/>
        <item m="1" x="1688"/>
        <item m="1" x="1517"/>
        <item m="1" x="887"/>
        <item m="1" x="1056"/>
        <item m="1" x="1648"/>
        <item m="1" x="867"/>
        <item m="1" x="1151"/>
        <item m="1" x="80"/>
        <item m="1" x="1890"/>
        <item m="1" x="1042"/>
        <item m="1" x="160"/>
        <item m="1" x="1755"/>
        <item m="1" x="1980"/>
        <item m="1" x="1593"/>
        <item m="1" x="1528"/>
        <item m="1" x="54"/>
        <item m="1" x="696"/>
        <item m="1" x="593"/>
        <item m="1" x="1575"/>
        <item m="1" x="1578"/>
        <item m="1" x="1779"/>
        <item m="1" x="16"/>
        <item m="1" x="1687"/>
        <item m="1" x="897"/>
        <item m="1" x="442"/>
        <item m="1" x="1635"/>
        <item m="1" x="811"/>
        <item m="1" x="572"/>
        <item m="1" x="948"/>
        <item m="1" x="1614"/>
        <item m="1" x="92"/>
        <item m="1" x="1527"/>
        <item m="1" x="883"/>
        <item m="1" x="1743"/>
        <item m="1" x="1083"/>
        <item m="1" x="1271"/>
        <item m="1" x="1357"/>
        <item m="1" x="90"/>
        <item m="1" x="990"/>
        <item m="1" x="1596"/>
        <item m="1" x="89"/>
        <item m="1" x="1594"/>
        <item m="1" x="1897"/>
        <item m="1" x="1615"/>
        <item m="1" x="829"/>
        <item m="1" x="1789"/>
        <item m="1" x="1445"/>
        <item m="1" x="1773"/>
        <item m="1" x="568"/>
        <item m="1" x="1956"/>
        <item m="1" x="1829"/>
        <item m="1" x="645"/>
        <item m="1" x="162"/>
        <item m="1" x="1286"/>
        <item m="1" x="123"/>
        <item m="1" x="825"/>
        <item m="1" x="1837"/>
        <item m="1" x="1520"/>
        <item m="1" x="121"/>
        <item m="1" x="1930"/>
        <item m="1" x="582"/>
        <item m="1" x="302"/>
        <item m="1" x="311"/>
        <item m="1" x="861"/>
        <item m="1" x="1499"/>
        <item m="1" x="516"/>
        <item m="1" x="476"/>
        <item m="1" x="638"/>
        <item m="1" x="1335"/>
        <item m="1" x="344"/>
        <item m="1" x="1854"/>
        <item m="1" x="1055"/>
        <item m="1" x="1144"/>
        <item m="1" x="1391"/>
        <item m="1" x="1799"/>
        <item m="1" x="1436"/>
        <item m="1" x="1679"/>
        <item m="1" x="1674"/>
        <item m="1" x="1646"/>
        <item m="1" x="1819"/>
        <item m="1" x="1535"/>
        <item m="1" x="772"/>
        <item m="1" x="717"/>
        <item m="1" x="151"/>
        <item m="1" x="1901"/>
        <item m="1" x="1007"/>
        <item m="1" x="816"/>
        <item m="1" x="590"/>
        <item m="1" x="404"/>
        <item m="1" x="527"/>
        <item m="1" x="336"/>
        <item m="1" x="1869"/>
        <item m="1" x="1900"/>
        <item m="1" x="1757"/>
        <item m="1" x="1592"/>
        <item m="1" x="605"/>
        <item m="1" x="419"/>
        <item m="1" x="87"/>
        <item m="1" x="1443"/>
        <item m="1" x="230"/>
        <item m="1" x="630"/>
        <item m="1" x="15"/>
        <item m="1" x="828"/>
        <item m="1" x="573"/>
        <item m="1" x="1040"/>
        <item m="1" x="801"/>
        <item m="1" x="303"/>
        <item m="1" x="126"/>
        <item m="1" x="321"/>
        <item m="1" x="12"/>
        <item m="1" x="763"/>
        <item m="1" x="1009"/>
        <item m="1" x="1781"/>
        <item m="1" x="1258"/>
        <item m="1" x="1375"/>
        <item m="1" x="1644"/>
        <item m="1" x="65"/>
        <item m="1" x="968"/>
        <item m="1" x="503"/>
        <item m="1" x="631"/>
        <item m="1" x="171"/>
        <item m="1" x="596"/>
        <item m="1" x="1103"/>
        <item m="1" x="848"/>
        <item m="1" x="1440"/>
        <item m="1" x="1203"/>
        <item m="1" x="1702"/>
        <item m="1" x="425"/>
        <item m="1" x="1969"/>
        <item m="1" x="622"/>
        <item m="1" x="239"/>
        <item m="1" x="1161"/>
        <item m="1" x="845"/>
        <item m="1" x="247"/>
        <item m="1" x="176"/>
        <item m="1" x="1584"/>
        <item m="1" x="1797"/>
        <item m="1" x="1063"/>
        <item m="1" x="797"/>
        <item m="1" x="210"/>
        <item m="1" x="559"/>
        <item m="1" x="1316"/>
        <item m="1" x="1306"/>
        <item m="1" x="1088"/>
        <item m="1" x="1314"/>
        <item m="1" x="998"/>
        <item m="1" x="378"/>
        <item m="1" x="1616"/>
        <item m="1" x="786"/>
        <item m="1" x="180"/>
        <item m="1" x="532"/>
        <item m="1" x="272"/>
        <item m="1" x="1425"/>
        <item m="1" x="1473"/>
        <item m="1" x="129"/>
        <item m="1" x="167"/>
        <item m="1" x="1845"/>
        <item m="1" x="1538"/>
        <item m="1" x="839"/>
        <item m="1" x="449"/>
        <item m="1" x="773"/>
        <item m="1" x="1940"/>
        <item m="1" x="1018"/>
        <item m="1" x="480"/>
        <item m="1" x="467"/>
        <item m="1" x="1986"/>
        <item m="1" x="929"/>
        <item m="1" x="1807"/>
        <item m="1" x="269"/>
        <item m="1" x="1412"/>
        <item m="1" x="415"/>
        <item m="1" x="1033"/>
        <item m="1" x="581"/>
        <item m="1" x="1073"/>
        <item m="1" x="1655"/>
        <item m="1" x="469"/>
        <item m="1" x="1146"/>
        <item m="1" x="152"/>
        <item m="1" x="1902"/>
        <item m="1" x="1783"/>
        <item m="1" x="168"/>
        <item m="1" x="1603"/>
        <item m="1" x="1768"/>
        <item m="1" x="99"/>
        <item m="1" x="1769"/>
        <item m="1" x="273"/>
        <item m="1" x="500"/>
        <item m="1" x="978"/>
        <item m="1" x="1362"/>
        <item m="1" x="45"/>
        <item m="1" x="132"/>
        <item m="1" x="1450"/>
        <item m="1" x="1053"/>
        <item m="1" x="1981"/>
        <item m="1" x="161"/>
        <item m="1" x="1689"/>
        <item m="1" x="775"/>
        <item m="1" x="1893"/>
        <item m="1" x="353"/>
        <item m="1" x="1822"/>
        <item m="1" x="981"/>
        <item m="1" x="1382"/>
        <item m="1" x="765"/>
        <item m="1" x="1354"/>
        <item m="1" x="1260"/>
        <item m="1" x="1631"/>
        <item m="1" x="982"/>
        <item m="1" x="1273"/>
        <item m="1" x="1540"/>
        <item m="1" x="1934"/>
        <item m="1" x="1516"/>
        <item m="1" x="1127"/>
        <item m="1" x="676"/>
        <item m="1" x="1919"/>
        <item m="1" x="1761"/>
        <item m="1" x="1061"/>
        <item m="1" x="1182"/>
        <item m="1" x="1707"/>
        <item m="1" x="854"/>
        <item m="1" x="564"/>
        <item m="1" x="324"/>
        <item m="1" x="366"/>
        <item m="1" x="147"/>
        <item m="1" x="1398"/>
        <item m="1" x="1607"/>
        <item m="1" x="305"/>
        <item m="1" x="17"/>
        <item m="1" x="666"/>
        <item m="1" x="560"/>
        <item m="1" x="175"/>
        <item m="1" x="1552"/>
        <item m="1" x="1184"/>
        <item m="1" x="1562"/>
        <item m="1" x="1100"/>
        <item m="1" x="1581"/>
        <item m="1" x="1047"/>
        <item m="1" x="1856"/>
        <item m="1" x="1475"/>
        <item m="1" x="1758"/>
        <item m="1" x="1125"/>
        <item m="1" x="1851"/>
        <item m="1" x="1966"/>
        <item m="1" x="1777"/>
        <item m="1" x="254"/>
        <item m="1" x="731"/>
        <item m="1" x="806"/>
        <item m="1" x="550"/>
        <item m="1" x="770"/>
        <item m="1" x="1506"/>
        <item m="1" x="1372"/>
        <item m="1" x="97"/>
        <item m="1" x="1453"/>
        <item m="1" x="1251"/>
        <item m="1" x="798"/>
        <item m="1" x="208"/>
        <item m="1" x="886"/>
        <item m="1" x="44"/>
        <item m="1" x="1942"/>
        <item m="1" x="364"/>
        <item m="1" x="969"/>
        <item m="1" x="841"/>
        <item m="1" x="1867"/>
        <item m="1" x="1415"/>
        <item m="1" x="499"/>
        <item m="1" x="429"/>
        <item m="1" x="374"/>
        <item m="1" x="421"/>
        <item m="1" x="530"/>
        <item m="1" x="1810"/>
        <item m="1" x="753"/>
        <item m="1" x="733"/>
        <item m="1" x="617"/>
        <item m="1" x="428"/>
        <item m="1" x="1096"/>
        <item m="1" x="103"/>
        <item m="1" x="53"/>
        <item m="1" x="923"/>
        <item m="1" x="1358"/>
        <item m="1" x="1736"/>
        <item m="1" x="1353"/>
        <item m="1" x="282"/>
        <item m="1" x="489"/>
        <item m="1" x="1285"/>
        <item m="1" x="1322"/>
        <item m="1" x="745"/>
        <item m="1" x="1349"/>
        <item m="1" x="866"/>
        <item m="1" x="767"/>
        <item m="1" x="1821"/>
        <item m="1" x="1109"/>
        <item m="1" x="619"/>
        <item m="1" x="299"/>
        <item m="1" x="1846"/>
        <item m="1" x="1925"/>
        <item m="1" x="81"/>
        <item m="1" x="1021"/>
        <item m="1" x="1197"/>
        <item m="1" x="1428"/>
        <item m="1" x="142"/>
        <item m="1" x="1798"/>
        <item m="1" x="440"/>
        <item m="1" x="64"/>
        <item m="1" x="133"/>
        <item m="1" x="297"/>
        <item m="1" x="393"/>
        <item m="1" x="1013"/>
        <item m="1" x="746"/>
        <item m="1" x="300"/>
        <item m="1" x="878"/>
        <item m="1" x="1225"/>
        <item m="1" x="1387"/>
        <item m="1" x="1513"/>
        <item m="1" x="1434"/>
        <item m="1" x="1249"/>
        <item m="1" x="1069"/>
        <item m="1" x="891"/>
        <item m="1" x="712"/>
        <item m="1" x="536"/>
        <item m="1" x="348"/>
        <item m="1" x="1600"/>
        <item m="1" x="1480"/>
        <item m="1" x="1024"/>
        <item m="1" x="265"/>
        <item m="1" x="1381"/>
        <item m="1" x="1323"/>
        <item m="1" x="1764"/>
        <item m="1" x="1037"/>
        <item m="1" x="1668"/>
        <item m="1" x="562"/>
        <item m="1" x="905"/>
        <item m="1" x="960"/>
        <item m="1" x="1741"/>
        <item m="1" x="874"/>
        <item m="1" x="916"/>
        <item m="1" x="821"/>
        <item m="1" x="771"/>
        <item m="1" x="412"/>
        <item m="1" x="1001"/>
        <item m="1" x="1246"/>
        <item m="1" x="1208"/>
        <item m="1" x="1716"/>
        <item m="1" x="743"/>
        <item m="1" x="398"/>
        <item m="1" x="1923"/>
        <item m="1" x="1640"/>
        <item m="1" x="748"/>
        <item m="1" x="221"/>
        <item m="1" x="601"/>
        <item m="1" x="391"/>
        <item m="1" x="139"/>
        <item m="1" x="1926"/>
        <item m="1" x="1174"/>
        <item m="1" x="1832"/>
        <item m="1" x="1464"/>
        <item m="1" x="1156"/>
        <item m="1" x="1734"/>
        <item m="1" x="1917"/>
        <item m="1" x="1228"/>
        <item m="1" x="266"/>
        <item m="1" x="502"/>
        <item m="1" x="1490"/>
        <item m="1" x="405"/>
        <item m="1" x="934"/>
        <item m="1" x="417"/>
        <item m="1" x="1865"/>
        <item m="1" x="13"/>
        <item m="1" x="475"/>
        <item m="1" x="1660"/>
        <item m="1" x="433"/>
        <item m="1" x="1583"/>
        <item m="1" x="804"/>
        <item m="1" x="1971"/>
        <item m="1" x="1698"/>
        <item m="1" x="868"/>
        <item m="1" x="218"/>
        <item m="1" x="1348"/>
        <item m="1" x="1206"/>
        <item m="1" x="1559"/>
        <item m="1" x="134"/>
        <item m="1" x="1943"/>
        <item m="1" x="71"/>
        <item m="1" x="1008"/>
        <item m="1" x="972"/>
        <item m="1" x="361"/>
        <item m="1" x="293"/>
        <item m="1" x="1938"/>
        <item m="1" x="1364"/>
        <item m="1" x="258"/>
        <item m="1" x="1676"/>
        <item m="1" x="566"/>
        <item m="1" x="634"/>
        <item m="1" x="664"/>
        <item m="1" x="547"/>
        <item m="1" x="1497"/>
        <item m="1" x="1132"/>
        <item m="1" x="1015"/>
        <item m="1" x="1005"/>
        <item m="1" x="143"/>
        <item m="1" x="1303"/>
        <item m="1" x="1849"/>
        <item m="1" x="1112"/>
        <item m="1" x="1809"/>
        <item m="1" x="760"/>
        <item m="1" x="1057"/>
        <item m="1" x="1554"/>
        <item m="1" x="1568"/>
        <item m="1" x="102"/>
        <item m="1" x="889"/>
        <item m="1" x="1814"/>
        <item m="1" x="1657"/>
        <item m="1" x="1128"/>
        <item m="1" x="403"/>
        <item m="1" x="1488"/>
        <item m="1" x="1297"/>
        <item m="1" x="113"/>
        <item m="1" x="580"/>
        <item m="1" x="1220"/>
        <item m="1" x="1729"/>
        <item m="1" x="169"/>
        <item m="1" x="734"/>
        <item m="1" x="1848"/>
        <item m="1" x="1437"/>
        <item m="1" x="1446"/>
        <item m="1" x="1110"/>
        <item m="1" x="1847"/>
        <item m="1" x="987"/>
        <item m="1" x="1454"/>
        <item m="1" x="1292"/>
        <item m="1" x="106"/>
        <item m="1" x="159"/>
        <item m="1" x="307"/>
        <item m="1" x="1396"/>
        <item m="1" x="863"/>
        <item m="1" x="589"/>
        <item m="1" x="1367"/>
        <item m="1" x="911"/>
        <item m="1" x="1277"/>
        <item m="1" x="1830"/>
        <item m="1" x="1746"/>
        <item m="1" x="1962"/>
        <item m="1" x="93"/>
        <item m="1" x="523"/>
        <item m="1" x="1346"/>
        <item m="1" x="82"/>
        <item m="1" x="392"/>
        <item m="1" x="1188"/>
        <item m="1" x="788"/>
        <item m="1" x="686"/>
        <item m="1" x="1828"/>
        <item m="1" x="284"/>
        <item m="1" x="259"/>
        <item m="1" x="975"/>
        <item m="1" x="602"/>
        <item m="1" x="406"/>
        <item m="1" x="604"/>
        <item m="1" x="1573"/>
        <item m="1" x="1774"/>
        <item m="1" x="1493"/>
        <item m="1" x="1279"/>
        <item m="1" x="387"/>
        <item m="1" x="1426"/>
        <item m="1" x="74"/>
        <item m="1" x="164"/>
        <item m="1" x="659"/>
        <item m="1" x="1924"/>
        <item m="1" x="1486"/>
        <item m="1" x="1202"/>
        <item m="1" x="835"/>
        <item m="1" x="1035"/>
        <item m="1" x="735"/>
        <item m="1" x="326"/>
        <item m="1" x="508"/>
        <item m="1" x="1159"/>
        <item m="1" x="42"/>
        <item m="1" x="569"/>
        <item m="1" x="563"/>
        <item m="1" x="1404"/>
        <item m="1" x="1123"/>
        <item m="1" x="939"/>
        <item m="1" x="900"/>
        <item m="1" x="1427"/>
        <item m="1" x="225"/>
        <item m="1" x="389"/>
        <item m="1" x="1462"/>
        <item m="1" x="1093"/>
        <item m="1" x="1661"/>
        <item m="1" x="621"/>
        <item m="1" x="1430"/>
        <item m="1" x="1958"/>
        <item m="1" x="1342"/>
        <item m="1" x="747"/>
        <item m="1" x="1165"/>
        <item m="1" x="1742"/>
        <item m="1" x="1136"/>
        <item m="1" x="295"/>
        <item m="1" x="1141"/>
        <item m="1" x="198"/>
        <item m="1" x="1274"/>
        <item m="1" x="463"/>
        <item m="1" x="1363"/>
        <item m="1" x="977"/>
        <item m="1" x="537"/>
        <item m="1" x="1806"/>
        <item m="1" x="197"/>
        <item m="1" x="1321"/>
        <item m="1" x="611"/>
        <item m="1" x="901"/>
        <item m="1" x="462"/>
        <item m="1" x="555"/>
        <item m="1" x="1804"/>
        <item m="1" x="937"/>
        <item m="1" x="1912"/>
        <item m="1" x="153"/>
        <item m="1" x="1888"/>
        <item m="1" x="1350"/>
        <item m="1" x="1696"/>
        <item m="1" x="1191"/>
        <item m="1" x="1469"/>
        <item m="1" x="875"/>
        <item m="1" x="917"/>
        <item m="1" x="1649"/>
        <item m="1" x="1025"/>
        <item m="1" x="88"/>
        <item m="1" x="1060"/>
        <item m="1" x="1613"/>
        <item m="1" x="1448"/>
        <item m="1" x="255"/>
        <item m="1" x="1245"/>
        <item m="1" x="1816"/>
        <item m="1" x="751"/>
        <item m="1" x="1461"/>
        <item m="1" x="1556"/>
        <item m="1" x="1872"/>
        <item m="1" x="1066"/>
        <item m="1" x="1820"/>
        <item m="1" x="538"/>
        <item m="1" x="1483"/>
        <item m="1" x="1871"/>
        <item m="1" x="1654"/>
        <item m="1" x="1599"/>
        <item m="1" x="1431"/>
        <item m="1" x="885"/>
        <item m="1" x="1014"/>
        <item m="1" x="1332"/>
        <item m="1" x="1551"/>
        <item m="1" x="872"/>
        <item m="1" x="1072"/>
        <item m="1" x="548"/>
        <item m="1" x="490"/>
        <item m="1" x="1642"/>
        <item m="1" x="1255"/>
        <item m="1" x="1713"/>
        <item m="1" x="1909"/>
        <item m="1" x="1964"/>
        <item m="1" x="647"/>
        <item m="1" x="1570"/>
        <item m="1" x="1145"/>
        <item m="1" x="586"/>
        <item m="1" x="1931"/>
        <item m="1" x="486"/>
        <item m="1" x="1471"/>
        <item m="1" x="689"/>
        <item m="1" x="1619"/>
        <item m="1" x="222"/>
        <item m="1" x="1659"/>
        <item m="1" x="195"/>
        <item m="1" x="963"/>
        <item m="1" x="1422"/>
        <item m="1" x="276"/>
        <item m="1" x="1903"/>
        <item m="1" x="654"/>
        <item m="1" x="612"/>
        <item m="1" x="1284"/>
        <item m="1" x="1765"/>
        <item m="1" x="1536"/>
        <item m="1" x="674"/>
        <item m="1" x="1059"/>
        <item m="1" x="331"/>
        <item m="1" x="754"/>
        <item m="1" x="1403"/>
        <item m="1" x="217"/>
        <item m="1" x="56"/>
        <item m="1" x="1946"/>
        <item m="1" x="325"/>
        <item m="1" x="67"/>
        <item m="1" x="6"/>
        <item m="1" x="358"/>
        <item m="1" x="315"/>
        <item m="1" x="1652"/>
        <item m="1" x="723"/>
        <item m="1" x="394"/>
        <item m="1" x="117"/>
        <item m="1" x="424"/>
        <item m="1" x="551"/>
        <item m="1" x="793"/>
        <item m="1" x="1545"/>
        <item m="1" x="629"/>
        <item m="1" x="1020"/>
        <item m="1" x="787"/>
        <item m="1" x="1004"/>
        <item m="1" x="1505"/>
        <item m="1" x="837"/>
        <item m="1" x="838"/>
        <item m="1" x="514"/>
        <item m="1" x="718"/>
        <item m="1" x="264"/>
        <item m="1" x="357"/>
        <item m="1" x="1665"/>
        <item m="1" x="192"/>
        <item m="1" x="444"/>
        <item m="1" x="1168"/>
        <item m="1" x="8"/>
        <item m="1" x="1098"/>
        <item m="1" x="651"/>
        <item m="1" x="240"/>
        <item m="1" x="1744"/>
        <item m="1" x="1351"/>
        <item m="1" x="24"/>
        <item m="1" x="245"/>
        <item m="1" x="1843"/>
        <item m="1" x="1553"/>
        <item m="1" x="1385"/>
        <item m="1" x="1539"/>
        <item m="1" x="892"/>
        <item m="1" x="714"/>
        <item m="1" x="1226"/>
        <item m="1" x="1842"/>
        <item m="1" x="267"/>
        <item m="1" x="984"/>
        <item m="1" x="1299"/>
        <item m="1" x="1124"/>
        <item m="1" x="943"/>
        <item m="1" x="752"/>
        <item m="1" x="23"/>
        <item m="1" x="1684"/>
        <item m="1" x="1147"/>
        <item m="1" x="779"/>
        <item m="1" x="938"/>
        <item m="1" x="749"/>
        <item m="1" x="1904"/>
        <item m="1" x="1759"/>
        <item m="1" x="1601"/>
        <item m="1" x="84"/>
        <item m="1" x="1898"/>
        <item m="1" x="1590"/>
        <item m="1" x="1873"/>
        <item m="1" x="1728"/>
        <item m="1" x="438"/>
        <item m="1" x="1787"/>
        <item m="1" x="1754"/>
        <item m="1" x="1638"/>
        <item m="1" x="531"/>
        <item m="1" x="774"/>
        <item m="1" x="1726"/>
        <item m="1" x="1432"/>
        <item m="1" x="819"/>
        <item m="1" x="1968"/>
        <item m="1" x="1393"/>
        <item m="1" x="1023"/>
        <item m="1" x="1210"/>
        <item m="1" x="1217"/>
        <item m="1" x="1747"/>
        <item m="1" x="1211"/>
        <item m="1" x="750"/>
        <item m="1" x="720"/>
        <item m="1" x="930"/>
        <item m="1" x="314"/>
        <item m="1" x="422"/>
        <item m="1" x="464"/>
        <item m="1" x="1880"/>
        <item m="1" x="1345"/>
        <item m="1" x="454"/>
        <item m="1" x="1006"/>
        <item m="1" x="381"/>
        <item m="1" x="777"/>
        <item m="1" x="1074"/>
        <item m="1" x="1062"/>
        <item m="1" x="1913"/>
        <item m="1" x="1569"/>
        <item m="1" x="52"/>
        <item m="1" x="704"/>
        <item m="1" x="1034"/>
        <item m="1" x="701"/>
        <item m="1" x="1451"/>
        <item m="1" x="1102"/>
        <item m="1" x="460"/>
        <item m="1" x="437"/>
        <item m="1" x="363"/>
        <item m="1" x="1838"/>
        <item m="1" x="1105"/>
        <item m="1" x="1975"/>
        <item m="1" x="1369"/>
        <item m="1" x="72"/>
        <item m="1" x="446"/>
        <item m="1" x="1287"/>
        <item m="1" x="138"/>
        <item m="1" x="1844"/>
        <item m="1" x="1419"/>
        <item m="1" x="203"/>
        <item m="1" x="802"/>
        <item m="1" x="188"/>
        <item m="1" x="677"/>
        <item m="1" x="1378"/>
        <item m="1" x="528"/>
        <item m="1" x="1685"/>
        <item m="1" x="1166"/>
        <item m="1" x="1330"/>
        <item m="1" x="401"/>
        <item m="1" x="209"/>
        <item m="1" x="1027"/>
        <item m="1" x="241"/>
        <item m="1" x="128"/>
        <item m="1" x="1882"/>
        <item m="1" x="1294"/>
        <item m="1" x="1113"/>
        <item m="1" x="292"/>
        <item m="1" x="1763"/>
        <item m="1" x="1377"/>
        <item m="1" x="565"/>
        <item m="1" x="639"/>
        <item m="1" x="906"/>
        <item m="1" x="999"/>
        <item m="1" x="576"/>
        <item m="1" x="1068"/>
        <item m="1" x="395"/>
        <item m="1" x="526"/>
        <item m="1" x="262"/>
        <item m="1" x="215"/>
        <item m="1" x="691"/>
        <item m="1" x="738"/>
        <item m="1" x="75"/>
        <item m="1" x="1771"/>
        <item m="1" x="214"/>
        <item m="1" x="1724"/>
        <item m="1" x="1355"/>
        <item m="1" x="607"/>
        <item m="1" x="1574"/>
        <item m="1" x="1178"/>
        <item m="1" x="114"/>
        <item m="1" x="1719"/>
        <item m="1" x="253"/>
        <item m="1" x="1985"/>
        <item m="1" x="436"/>
        <item m="1" x="726"/>
        <item m="1" x="1252"/>
        <item m="1" x="441"/>
        <item m="1" x="1302"/>
        <item m="1" x="950"/>
        <item m="1" x="1278"/>
        <item m="1" x="1235"/>
        <item m="1" x="561"/>
        <item m="1" x="697"/>
        <item m="1" x="1199"/>
        <item m="1" x="377"/>
        <item m="1" x="1373"/>
        <item m="1" x="567"/>
        <item m="1" x="1215"/>
        <item m="1" x="1514"/>
        <item m="1" x="853"/>
        <item m="1" x="1785"/>
        <item m="1" x="1711"/>
        <item m="1" x="653"/>
        <item m="1" x="910"/>
        <item m="1" x="349"/>
        <item m="1" x="1641"/>
        <item m="1" x="287"/>
        <item m="1" x="1118"/>
        <item m="1" x="583"/>
        <item m="1" x="742"/>
        <item m="1" x="83"/>
        <item m="1" x="633"/>
        <item m="1" x="1084"/>
        <item m="1" x="1259"/>
        <item m="1" x="183"/>
        <item m="1" x="1289"/>
        <item m="1" x="1841"/>
        <item m="1" x="1267"/>
        <item m="1" x="1827"/>
        <item m="1" x="1658"/>
        <item m="1" x="967"/>
        <item m="1" x="1718"/>
        <item m="1" x="834"/>
        <item m="1" x="985"/>
        <item m="1" x="1310"/>
        <item m="1" x="1609"/>
        <item m="1" x="1319"/>
        <item m="1" x="172"/>
        <item m="1" x="63"/>
        <item m="1" x="1388"/>
        <item m="1" x="333"/>
        <item m="1" x="1406"/>
        <item m="1" x="140"/>
        <item m="1" x="150"/>
        <item m="1" x="1309"/>
        <item m="1" x="27"/>
        <item m="1" x="271"/>
        <item m="1" x="873"/>
        <item m="1" x="479"/>
        <item m="1" x="933"/>
        <item m="1" x="1280"/>
        <item m="1" x="1085"/>
        <item m="1" x="903"/>
        <item m="1" x="922"/>
        <item m="1" x="1666"/>
        <item m="1" x="1767"/>
        <item m="1" x="673"/>
        <item m="1" x="1130"/>
        <item m="1" x="382"/>
        <item m="1" x="628"/>
        <item m="1" x="958"/>
        <item m="1" x="1526"/>
        <item m="1" x="756"/>
        <item m="1" x="1359"/>
        <item m="1" x="698"/>
        <item m="1" x="956"/>
        <item m="1" x="1929"/>
        <item m="1" x="1974"/>
        <item m="1" x="450"/>
        <item m="1" x="815"/>
        <item m="1" x="1899"/>
        <item m="1" x="1065"/>
        <item m="1" x="1565"/>
        <item m="1" x="312"/>
        <item m="1" x="498"/>
        <item m="1" x="58"/>
        <item m="1" x="457"/>
        <item m="1" x="313"/>
        <item m="1" x="1510"/>
        <item m="1" x="1067"/>
        <item m="1" x="1500"/>
        <item m="1" x="413"/>
        <item m="1" x="736"/>
        <item m="1" x="1987"/>
        <item m="1" x="1099"/>
        <item m="1" x="846"/>
        <item m="1" x="504"/>
        <item m="1" x="1508"/>
        <item m="1" x="962"/>
        <item m="1" x="318"/>
        <item m="1" x="1725"/>
        <item m="1" x="91"/>
        <item m="1" x="690"/>
        <item m="1" x="283"/>
        <item m="1" x="1164"/>
        <item m="1" x="30"/>
        <item m="1" x="334"/>
        <item m="1" x="1011"/>
        <item m="1" x="876"/>
        <item x="0"/>
        <item m="1" x="493"/>
        <item m="1" x="1405"/>
        <item m="1" x="1441"/>
        <item m="1" x="506"/>
        <item m="1" x="1352"/>
        <item m="1" x="1438"/>
        <item m="1" x="799"/>
        <item m="1" x="1961"/>
        <item m="1" x="367"/>
        <item m="1" x="1708"/>
        <item m="1" x="525"/>
        <item m="1" x="1039"/>
        <item m="1" x="1116"/>
        <item m="1" x="1050"/>
        <item m="1" x="1944"/>
        <item m="1" x="408"/>
        <item m="1" x="407"/>
        <item m="1" x="33"/>
        <item m="1" x="1760"/>
        <item m="1" x="949"/>
        <item m="1" x="1230"/>
        <item m="1" x="1371"/>
        <item m="1" x="1304"/>
        <item m="1" x="509"/>
        <item m="1" x="1119"/>
        <item m="1" x="1376"/>
        <item m="1" x="1617"/>
        <item m="1" x="1750"/>
        <item m="1" x="920"/>
        <item m="1" x="1587"/>
        <item m="1" x="1409"/>
        <item m="1" x="1043"/>
        <item m="1" x="1481"/>
        <item m="1" x="1494"/>
        <item m="1" x="32"/>
        <item m="1" x="1365"/>
        <item m="1" x="109"/>
        <item m="1" x="1030"/>
        <item m="1" x="1281"/>
        <item m="1" x="243"/>
        <item m="1" x="1515"/>
        <item m="1" x="618"/>
        <item m="1" x="1241"/>
        <item m="1" x="1824"/>
        <item m="1" x="1152"/>
        <item m="1" x="341"/>
        <item m="1" x="1423"/>
        <item m="1" x="73"/>
        <item m="1" x="592"/>
        <item m="1" x="1250"/>
        <item m="1" x="125"/>
        <item m="1" x="1466"/>
        <item m="1" x="1801"/>
        <item m="1" x="1691"/>
        <item m="1" x="665"/>
        <item m="1" x="954"/>
        <item m="1" x="1390"/>
        <item m="1" x="418"/>
        <item m="1" x="1242"/>
        <item m="1" x="855"/>
        <item m="1" x="144"/>
        <item m="1" x="399"/>
        <item m="1" x="1519"/>
        <item m="1" x="329"/>
        <item m="1" x="675"/>
        <item m="1" x="1447"/>
        <item m="1" x="1625"/>
        <item m="1" x="983"/>
        <item m="1" x="1194"/>
        <item m="1" x="101"/>
        <item m="1" x="1167"/>
        <item m="1" x="986"/>
        <item m="1" x="1984"/>
        <item m="1" x="226"/>
        <item m="1" x="543"/>
        <item m="1" x="1945"/>
        <item m="1" x="1081"/>
        <item m="1" x="822"/>
        <item m="1" x="135"/>
        <item m="1" x="761"/>
        <item m="1" x="794"/>
        <item m="1" x="1232"/>
        <item m="1" x="1343"/>
        <item m="1" x="1496"/>
        <item m="1" x="1813"/>
        <item m="1" x="1051"/>
        <item m="1" x="935"/>
        <item m="1" x="1717"/>
        <item m="1" x="585"/>
        <item m="1" x="409"/>
        <item m="1" x="558"/>
        <item m="1" x="520"/>
        <item m="1" x="1327"/>
        <item m="1" x="833"/>
        <item m="1" x="1344"/>
        <item m="1" x="995"/>
        <item m="1" x="1525"/>
        <item m="1" x="478"/>
        <item m="1" x="1227"/>
        <item m="1" x="1502"/>
        <item m="1" x="1595"/>
        <item m="1" x="1606"/>
        <item m="1" x="1633"/>
        <item m="1" x="1624"/>
        <item m="1" x="370"/>
        <item m="1" x="692"/>
        <item m="1" x="384"/>
        <item m="1" x="1957"/>
        <item m="1" x="1126"/>
        <item m="1" x="141"/>
        <item m="1" x="1029"/>
        <item m="1" x="1612"/>
        <item m="1" x="1224"/>
        <item m="1" x="430"/>
        <item m="1" x="1193"/>
        <item m="1" x="1947"/>
        <item m="1" x="784"/>
        <item m="1" x="1529"/>
        <item m="1" x="1256"/>
        <item m="1" x="649"/>
        <item m="1" x="459"/>
        <item m="1" x="1863"/>
        <item m="1" x="1418"/>
        <item m="1" x="330"/>
        <item m="1" x="279"/>
        <item m="1" x="1192"/>
        <item m="1" x="1045"/>
        <item m="1" x="43"/>
        <item m="1" x="1954"/>
        <item m="1" x="1380"/>
        <item m="1" x="1982"/>
        <item m="1" x="1543"/>
        <item m="1" x="1563"/>
        <item m="1" x="899"/>
        <item m="1" x="397"/>
        <item m="1" x="1834"/>
        <item m="1" x="1835"/>
        <item m="1" x="1976"/>
        <item m="1" x="178"/>
        <item m="1" x="31"/>
        <item m="1" x="354"/>
        <item m="1" x="1485"/>
        <item m="1" x="1429"/>
        <item m="1" x="1171"/>
        <item m="1" x="1010"/>
        <item m="1" x="919"/>
        <item m="1" x="1058"/>
        <item m="1" x="347"/>
        <item m="1" x="820"/>
        <item m="1" x="1361"/>
        <item m="1" x="1003"/>
        <item m="1" x="1257"/>
        <item m="1" x="191"/>
        <item m="1" x="1706"/>
        <item m="1" x="216"/>
        <item m="1" x="1715"/>
        <item m="1" x="1812"/>
        <item m="1" x="827"/>
        <item m="1" x="1117"/>
        <item m="1" x="668"/>
        <item m="1" x="19"/>
        <item m="1" x="721"/>
        <item m="1" x="1973"/>
        <item m="1" x="1605"/>
        <item m="1" x="1420"/>
        <item m="1" x="37"/>
        <item m="1" x="1139"/>
        <item m="1" x="1501"/>
        <item m="1" x="1656"/>
        <item m="1" x="1456"/>
        <item m="1" x="847"/>
        <item m="1" x="360"/>
        <item m="1" x="1026"/>
        <item m="1" x="705"/>
        <item m="1" x="655"/>
        <item m="1" x="286"/>
        <item m="1" x="680"/>
        <item m="1" x="1970"/>
        <item m="1" x="546"/>
        <item m="1" x="1692"/>
        <item m="1" x="1070"/>
        <item m="1" x="1107"/>
        <item m="1" x="1858"/>
        <item m="1" x="1530"/>
        <item m="1" x="1142"/>
        <item m="1" x="644"/>
        <item m="1" x="685"/>
        <item m="1" x="296"/>
        <item m="1" x="388"/>
        <item m="1" x="62"/>
        <item m="1" x="926"/>
        <item m="1" x="1296"/>
        <item m="1" x="1560"/>
        <item m="1" x="1693"/>
        <item m="1" x="924"/>
        <item m="1" x="1770"/>
        <item m="1" x="145"/>
        <item m="1" x="1683"/>
        <item m="1" x="610"/>
        <item m="1" x="187"/>
        <item m="1" x="1950"/>
        <item m="1" x="722"/>
        <item m="1" x="1216"/>
        <item m="1" x="155"/>
        <item m="1" x="376"/>
        <item m="1" x="25"/>
        <item m="1" x="1780"/>
        <item m="1" x="1263"/>
        <item m="1" x="1315"/>
        <item m="1" x="1857"/>
        <item m="1" x="204"/>
        <item m="1" x="59"/>
        <item m="1" x="1932"/>
        <item m="1" x="661"/>
        <item m="1" x="1487"/>
        <item m="1" x="1682"/>
        <item m="1" x="1337"/>
        <item m="1" x="1207"/>
        <item m="1" x="1795"/>
        <item m="1" x="1234"/>
        <item m="1" x="1733"/>
        <item m="1" x="1080"/>
        <item m="1" x="1082"/>
        <item m="1" x="852"/>
        <item m="1" x="1677"/>
        <item m="1" x="1518"/>
        <item m="1" x="545"/>
        <item m="1" x="1585"/>
        <item m="1" x="49"/>
        <item m="1" x="860"/>
        <item m="1" x="1198"/>
        <item m="1" x="505"/>
        <item m="1" x="346"/>
        <item m="1" x="1836"/>
        <item m="1" x="1805"/>
        <item m="1" x="1140"/>
        <item m="1" x="309"/>
        <item m="1" x="871"/>
        <item m="1" x="212"/>
        <item m="1" x="77"/>
        <item m="1" x="251"/>
        <item m="1" x="667"/>
        <item m="1" x="375"/>
        <item m="1" x="1800"/>
        <item m="1" x="497"/>
        <item m="1" x="955"/>
        <item m="1" x="1389"/>
        <item m="1" x="483"/>
        <item m="1" x="988"/>
        <item m="1" x="807"/>
        <item m="1" x="1571"/>
        <item m="1" x="642"/>
        <item m="1" x="1407"/>
        <item m="1" x="952"/>
        <item m="1" x="732"/>
        <item m="1" x="219"/>
        <item m="1" x="342"/>
        <item m="1" x="227"/>
        <item m="1" x="1253"/>
        <item m="1" x="1498"/>
        <item m="1" x="533"/>
        <item m="1" x="584"/>
        <item m="1" x="228"/>
        <item m="1" x="1413"/>
        <item m="1" x="529"/>
        <item m="1" x="372"/>
        <item m="1" x="1507"/>
        <item m="1" x="882"/>
        <item m="1" x="1200"/>
        <item m="1" x="1022"/>
        <item m="1" x="492"/>
        <item m="1" x="1261"/>
        <item m="1" x="1694"/>
        <item m="1" x="643"/>
        <item m="1" x="156"/>
        <item m="1" x="118"/>
        <item m="1" x="888"/>
        <item m="1" x="1628"/>
        <item m="1" x="68"/>
        <item m="1" x="858"/>
        <item m="1" x="1054"/>
        <item m="1" x="766"/>
        <item m="1" x="1558"/>
        <item m="1" x="1862"/>
        <item m="1" x="702"/>
        <item m="1" x="26"/>
        <item m="1" x="700"/>
        <item m="1" x="1876"/>
        <item m="1" x="46"/>
        <item m="1" x="1817"/>
        <item m="1" x="980"/>
        <item m="1" x="1672"/>
        <item m="1" x="1541"/>
        <item m="1" x="1937"/>
        <item m="1" x="1016"/>
        <item m="1" x="1927"/>
        <item m="1" x="595"/>
        <item m="1" x="768"/>
        <item m="1" x="597"/>
        <item m="1" x="1089"/>
        <item m="1" x="177"/>
        <item m="1" x="22"/>
        <item m="1" x="1839"/>
        <item m="1" x="322"/>
        <item m="1" x="1669"/>
        <item m="1" x="1121"/>
        <item m="1" x="20"/>
        <item m="1" x="976"/>
        <item m="1" x="1092"/>
        <item m="1" x="130"/>
        <item m="1" x="451"/>
        <item m="1" x="1784"/>
        <item m="1" x="1397"/>
        <item m="1" x="1611"/>
        <item m="1" x="1948"/>
        <item m="1" x="1410"/>
        <item m="1" x="1531"/>
        <item m="1" x="1983"/>
        <item m="1" x="477"/>
        <item m="1" x="1458"/>
        <item m="1" x="116"/>
        <item m="1" x="859"/>
        <item m="1" x="1906"/>
        <item m="1" x="1175"/>
        <item m="1" x="95"/>
        <item m="1" x="810"/>
        <item m="1" x="383"/>
        <item m="1" x="1697"/>
        <item m="1" x="973"/>
        <item m="1" x="1468"/>
        <item m="1" x="715"/>
        <item m="1" x="202"/>
        <item m="1" x="524"/>
        <item m="1" x="1826"/>
        <item m="1" x="662"/>
        <item m="1" x="351"/>
        <item m="1" x="1577"/>
        <item m="1" x="1101"/>
        <item m="1" x="1681"/>
        <item m="1" x="1895"/>
        <item m="1" x="1219"/>
        <item m="1" x="1122"/>
        <item m="1" x="1333"/>
        <item m="1" x="591"/>
        <item m="1" x="682"/>
        <item m="1" x="238"/>
        <item m="1" x="1859"/>
        <item m="1" x="1879"/>
        <item m="1" x="1153"/>
        <item m="1" x="513"/>
        <item m="1" x="379"/>
        <item m="1" x="1298"/>
        <item m="1" x="69"/>
        <item m="1" x="1544"/>
        <item m="1" x="594"/>
        <item m="1" x="1046"/>
        <item m="1" x="10"/>
        <item m="1" x="521"/>
        <item m="1" x="170"/>
        <item m="1" x="1745"/>
        <item m="1" x="224"/>
        <item m="1" x="740"/>
        <item m="1" x="1360"/>
        <item m="1" x="173"/>
        <item m="1" x="1905"/>
        <item m="1" x="317"/>
        <item m="1" x="727"/>
        <item m="1" x="501"/>
        <item m="1" x="148"/>
        <item m="1" x="323"/>
        <item m="1" x="1417"/>
        <item m="1" x="38"/>
        <item m="1" x="1874"/>
        <item m="1" x="1442"/>
        <item m="1" x="466"/>
        <item m="1" x="1808"/>
        <item m="1" x="1720"/>
        <item m="1" x="636"/>
        <item m="1" x="179"/>
        <item m="1" x="1201"/>
        <item m="1" x="7"/>
        <item t="default"/>
      </items>
      <autoSortScope>
        <pivotArea dataOnly="0" outline="0" fieldPosition="0">
          <references count="1">
            <reference field="4294967294" count="1" selected="0">
              <x v="5"/>
            </reference>
          </references>
        </pivotArea>
      </autoSortScope>
    </pivotField>
    <pivotField compact="0" outline="0" showAll="0"/>
    <pivotField compact="0" outline="0" showAll="0"/>
    <pivotField compact="0" outline="0" showAll="0" sortType="descending" defaultSubtotal="0">
      <items count="1502">
        <item m="1" x="1204"/>
        <item m="1" x="206"/>
        <item m="1" x="1388"/>
        <item m="1" x="782"/>
        <item m="1" x="1013"/>
        <item m="1" x="893"/>
        <item m="1" x="1461"/>
        <item m="1" x="649"/>
        <item m="1" x="771"/>
        <item m="1" x="334"/>
        <item m="1" x="1106"/>
        <item m="1" x="1166"/>
        <item m="1" x="838"/>
        <item m="1" x="1468"/>
        <item m="1" x="1263"/>
        <item m="1" x="1220"/>
        <item m="1" x="1097"/>
        <item m="1" x="820"/>
        <item m="1" x="165"/>
        <item m="1" x="533"/>
        <item m="1" x="1184"/>
        <item m="1" x="1195"/>
        <item m="1" x="995"/>
        <item m="1" x="493"/>
        <item m="1" x="1368"/>
        <item m="1" x="1176"/>
        <item m="1" x="136"/>
        <item m="1" x="1258"/>
        <item m="1" x="644"/>
        <item m="1" x="642"/>
        <item m="1" x="1260"/>
        <item m="1" x="604"/>
        <item m="1" x="34"/>
        <item m="1" x="681"/>
        <item m="1" x="372"/>
        <item m="1" x="972"/>
        <item m="1" x="1498"/>
        <item m="1" x="412"/>
        <item m="1" x="1178"/>
        <item m="1" x="1278"/>
        <item m="1" x="1391"/>
        <item m="1" x="1246"/>
        <item m="1" x="490"/>
        <item m="1" x="519"/>
        <item m="1" x="520"/>
        <item m="1" x="986"/>
        <item m="1" x="319"/>
        <item m="1" x="1244"/>
        <item m="1" x="697"/>
        <item m="1" x="763"/>
        <item m="1" x="1076"/>
        <item m="1" x="733"/>
        <item m="1" x="457"/>
        <item m="1" x="1070"/>
        <item m="1" x="132"/>
        <item m="1" x="626"/>
        <item m="1" x="1348"/>
        <item m="1" x="167"/>
        <item m="1" x="204"/>
        <item m="1" x="716"/>
        <item m="1" x="1145"/>
        <item m="1" x="516"/>
        <item m="1" x="1190"/>
        <item m="1" x="769"/>
        <item m="1" x="822"/>
        <item m="1" x="1214"/>
        <item m="1" x="984"/>
        <item m="1" x="1215"/>
        <item m="1" x="683"/>
        <item m="1" x="401"/>
        <item m="1" x="9"/>
        <item m="1" x="754"/>
        <item m="1" x="1268"/>
        <item m="1" x="355"/>
        <item m="1" x="841"/>
        <item m="1" x="975"/>
        <item m="1" x="5"/>
        <item m="1" x="896"/>
        <item m="1" x="262"/>
        <item m="1" x="685"/>
        <item m="1" x="263"/>
        <item m="1" x="482"/>
        <item m="1" x="1234"/>
        <item m="1" x="552"/>
        <item m="1" x="463"/>
        <item m="1" x="1483"/>
        <item m="1" x="499"/>
        <item m="1" x="821"/>
        <item m="1" x="1179"/>
        <item m="1" x="574"/>
        <item m="1" x="210"/>
        <item m="1" x="213"/>
        <item m="1" x="432"/>
        <item m="1" x="1124"/>
        <item m="1" x="1017"/>
        <item m="1" x="720"/>
        <item m="1" x="1024"/>
        <item m="1" x="1334"/>
        <item m="1" x="800"/>
        <item m="1" x="1256"/>
        <item m="1" x="385"/>
        <item m="1" x="370"/>
        <item m="1" x="1344"/>
        <item m="1" x="96"/>
        <item m="1" x="767"/>
        <item m="1" x="261"/>
        <item m="1" x="731"/>
        <item m="1" x="541"/>
        <item m="1" x="566"/>
        <item m="1" x="166"/>
        <item m="1" x="830"/>
        <item m="1" x="1401"/>
        <item m="1" x="827"/>
        <item m="1" x="395"/>
        <item m="1" x="65"/>
        <item m="1" x="1450"/>
        <item m="1" x="460"/>
        <item m="1" x="91"/>
        <item m="1" x="740"/>
        <item m="1" x="542"/>
        <item m="1" x="215"/>
        <item m="1" x="2"/>
        <item m="1" x="63"/>
        <item m="1" x="1053"/>
        <item m="1" x="1054"/>
        <item m="1" x="1055"/>
        <item m="1" x="70"/>
        <item m="1" x="1057"/>
        <item m="1" x="885"/>
        <item m="1" x="1058"/>
        <item m="1" x="1059"/>
        <item m="1" x="1060"/>
        <item m="1" x="1308"/>
        <item m="1" x="655"/>
        <item m="1" x="360"/>
        <item m="1" x="1063"/>
        <item m="1" x="1064"/>
        <item m="1" x="417"/>
        <item m="1" x="770"/>
        <item m="1" x="948"/>
        <item m="1" x="629"/>
        <item m="1" x="1001"/>
        <item m="1" x="1193"/>
        <item m="1" x="578"/>
        <item m="1" x="290"/>
        <item m="1" x="62"/>
        <item m="1" x="877"/>
        <item m="1" x="25"/>
        <item m="1" x="1125"/>
        <item m="1" x="899"/>
        <item m="1" x="1426"/>
        <item m="1" x="1448"/>
        <item m="1" x="700"/>
        <item m="1" x="466"/>
        <item m="1" x="627"/>
        <item m="1" x="489"/>
        <item m="1" x="1363"/>
        <item m="1" x="601"/>
        <item m="1" x="76"/>
        <item m="1" x="162"/>
        <item m="1" x="660"/>
        <item m="1" x="915"/>
        <item m="1" x="1101"/>
        <item m="1" x="111"/>
        <item m="1" x="423"/>
        <item m="1" x="751"/>
        <item m="1" x="1439"/>
        <item m="1" x="1113"/>
        <item m="1" x="616"/>
        <item m="1" x="973"/>
        <item m="1" x="786"/>
        <item m="1" x="156"/>
        <item m="1" x="1122"/>
        <item m="1" x="140"/>
        <item m="1" x="1238"/>
        <item m="1" x="776"/>
        <item m="1" x="1266"/>
        <item m="1" x="1379"/>
        <item m="1" x="84"/>
        <item m="1" x="753"/>
        <item m="1" x="1095"/>
        <item m="1" x="58"/>
        <item m="1" x="208"/>
        <item m="1" x="1031"/>
        <item m="1" x="1032"/>
        <item m="1" x="1262"/>
        <item m="1" x="855"/>
        <item m="1" x="1272"/>
        <item m="1" x="1415"/>
        <item m="1" x="1102"/>
        <item m="1" x="587"/>
        <item m="1" x="327"/>
        <item m="1" x="50"/>
        <item m="1" x="1323"/>
        <item m="1" x="411"/>
        <item m="1" x="1081"/>
        <item m="1" x="628"/>
        <item m="1" x="368"/>
        <item m="1" x="636"/>
        <item m="1" x="758"/>
        <item m="1" x="1435"/>
        <item m="1" x="708"/>
        <item m="1" x="890"/>
        <item m="1" x="301"/>
        <item m="1" x="1047"/>
        <item m="1" x="429"/>
        <item m="1" x="1010"/>
        <item m="1" x="451"/>
        <item m="1" x="1428"/>
        <item m="1" x="894"/>
        <item m="1" x="282"/>
        <item m="1" x="895"/>
        <item m="1" x="1015"/>
        <item m="1" x="22"/>
        <item m="1" x="31"/>
        <item m="1" x="1296"/>
        <item m="1" x="706"/>
        <item m="1" x="920"/>
        <item m="1" x="886"/>
        <item m="1" x="18"/>
        <item m="1" x="87"/>
        <item m="1" x="153"/>
        <item m="1" x="440"/>
        <item m="1" x="356"/>
        <item m="1" x="1004"/>
        <item m="1" x="1371"/>
        <item m="1" x="487"/>
        <item m="1" x="862"/>
        <item m="1" x="749"/>
        <item m="1" x="906"/>
        <item m="1" x="477"/>
        <item m="1" x="575"/>
        <item m="1" x="298"/>
        <item m="1" x="93"/>
        <item m="1" x="328"/>
        <item m="1" x="227"/>
        <item m="1" x="560"/>
        <item m="1" x="4"/>
        <item m="1" x="118"/>
        <item m="1" x="108"/>
        <item m="1" x="461"/>
        <item m="1" x="51"/>
        <item m="1" x="367"/>
        <item m="1" x="591"/>
        <item m="1" x="538"/>
        <item m="1" x="1340"/>
        <item m="1" x="968"/>
        <item m="1" x="1175"/>
        <item m="1" x="104"/>
        <item m="1" x="205"/>
        <item m="1" x="1030"/>
        <item m="1" x="950"/>
        <item m="1" x="1228"/>
        <item m="1" x="764"/>
        <item m="1" x="122"/>
        <item m="1" x="1002"/>
        <item m="1" x="351"/>
        <item m="1" x="288"/>
        <item m="1" x="1169"/>
        <item m="1" x="806"/>
        <item m="1" x="414"/>
        <item m="1" x="1254"/>
        <item m="1" x="858"/>
        <item m="1" x="1499"/>
        <item m="1" x="980"/>
        <item m="1" x="1066"/>
        <item m="1" x="1444"/>
        <item m="1" x="1079"/>
        <item m="1" x="580"/>
        <item m="1" x="399"/>
        <item m="1" x="462"/>
        <item m="1" x="107"/>
        <item m="1" x="979"/>
        <item m="1" x="815"/>
        <item m="1" x="448"/>
        <item m="1" x="33"/>
        <item m="1" x="1491"/>
        <item m="1" x="392"/>
        <item m="1" x="505"/>
        <item m="1" x="239"/>
        <item m="1" x="53"/>
        <item m="1" x="1162"/>
        <item m="1" x="1114"/>
        <item m="1" x="1400"/>
        <item m="1" x="413"/>
        <item m="1" x="1194"/>
        <item m="1" x="957"/>
        <item m="1" x="35"/>
        <item m="1" x="285"/>
        <item m="1" x="606"/>
        <item m="1" x="240"/>
        <item m="1" x="1283"/>
        <item m="1" x="1335"/>
        <item m="1" x="1402"/>
        <item m="1" x="512"/>
        <item m="1" x="1488"/>
        <item m="1" x="788"/>
        <item m="1" x="1380"/>
        <item m="1" x="1375"/>
        <item m="1" x="49"/>
        <item m="1" x="1153"/>
        <item m="1" x="760"/>
        <item m="1" x="1421"/>
        <item m="1" x="960"/>
        <item m="1" x="909"/>
        <item m="1" x="658"/>
        <item m="1" x="255"/>
        <item m="1" x="1105"/>
        <item m="1" x="1429"/>
        <item m="1" x="524"/>
        <item m="1" x="590"/>
        <item m="1" x="794"/>
        <item m="1" x="540"/>
        <item m="1" x="472"/>
        <item m="1" x="425"/>
        <item m="1" x="1029"/>
        <item m="1" x="270"/>
        <item m="1" x="543"/>
        <item m="1" x="36"/>
        <item m="1" x="244"/>
        <item m="1" x="276"/>
        <item m="1" x="1495"/>
        <item m="1" x="1442"/>
        <item m="1" x="937"/>
        <item m="1" x="1409"/>
        <item m="1" x="611"/>
        <item m="1" x="966"/>
        <item m="1" x="1288"/>
        <item m="1" x="867"/>
        <item m="1" x="599"/>
        <item m="1" x="585"/>
        <item m="1" x="594"/>
        <item m="1" x="509"/>
        <item m="1" x="1419"/>
        <item m="1" x="1313"/>
        <item m="1" x="283"/>
        <item m="1" x="665"/>
        <item m="1" x="1384"/>
        <item m="1" x="259"/>
        <item m="1" x="892"/>
        <item m="1" x="1038"/>
        <item m="1" x="1452"/>
        <item m="1" x="1467"/>
        <item m="1" x="623"/>
        <item m="1" x="245"/>
        <item m="1" x="1096"/>
        <item m="1" x="1126"/>
        <item m="1" x="1337"/>
        <item m="1" x="393"/>
        <item m="1" x="1137"/>
        <item m="1" x="1470"/>
        <item m="1" x="801"/>
        <item m="1" x="1446"/>
        <item m="1" x="365"/>
        <item m="1" x="464"/>
        <item m="1" x="72"/>
        <item m="1" x="687"/>
        <item m="1" x="352"/>
        <item m="1" x="56"/>
        <item m="1" x="916"/>
        <item m="1" x="254"/>
        <item m="1" x="654"/>
        <item m="1" x="474"/>
        <item m="1" x="428"/>
        <item m="1" x="1482"/>
        <item m="1" x="884"/>
        <item m="1" x="1291"/>
        <item m="1" x="789"/>
        <item m="1" x="829"/>
        <item m="1" x="101"/>
        <item m="1" x="60"/>
        <item m="1" x="1165"/>
        <item m="1" x="790"/>
        <item m="1" x="207"/>
        <item m="1" x="231"/>
        <item m="1" x="675"/>
        <item m="1" x="501"/>
        <item m="1" x="1236"/>
        <item m="1" x="357"/>
        <item m="1" x="1084"/>
        <item m="1" x="793"/>
        <item m="1" x="1187"/>
        <item m="1" x="442"/>
        <item m="1" x="774"/>
        <item m="1" x="485"/>
        <item m="1" x="335"/>
        <item m="1" x="891"/>
        <item m="1" x="924"/>
        <item m="1" x="64"/>
        <item m="1" x="872"/>
        <item m="1" x="267"/>
        <item m="1" x="1048"/>
        <item m="1" x="386"/>
        <item m="1" x="1200"/>
        <item m="1" x="415"/>
        <item m="1" x="1170"/>
        <item m="1" x="532"/>
        <item m="1" x="734"/>
        <item m="1" x="1133"/>
        <item m="1" x="23"/>
        <item m="1" x="220"/>
        <item m="1" x="1500"/>
        <item m="1" x="272"/>
        <item m="1" x="234"/>
        <item m="1" x="1353"/>
        <item m="1" x="168"/>
        <item m="1" x="80"/>
        <item m="1" x="978"/>
        <item m="1" x="1227"/>
        <item m="1" x="981"/>
        <item m="1" x="799"/>
        <item m="1" x="1111"/>
        <item m="1" x="439"/>
        <item m="1" x="258"/>
        <item m="1" x="993"/>
        <item m="1" x="59"/>
        <item m="1" x="495"/>
        <item m="1" x="908"/>
        <item m="1" x="1006"/>
        <item m="1" x="1489"/>
        <item m="1" x="856"/>
        <item m="1" x="1350"/>
        <item m="1" x="369"/>
        <item m="1" x="813"/>
        <item m="1" x="787"/>
        <item m="1" x="98"/>
        <item m="1" x="559"/>
        <item m="1" x="1302"/>
        <item m="1" x="1249"/>
        <item m="1" x="952"/>
        <item m="1" x="396"/>
        <item m="1" x="198"/>
        <item m="1" x="330"/>
        <item m="1" x="1485"/>
        <item m="1" x="632"/>
        <item m="1" x="759"/>
        <item m="1" x="607"/>
        <item m="1" x="1290"/>
        <item m="1" x="295"/>
        <item m="1" x="325"/>
        <item m="1" x="217"/>
        <item m="1" x="1276"/>
        <item m="1" x="1427"/>
        <item m="1" x="522"/>
        <item m="1" x="528"/>
        <item m="1" x="1099"/>
        <item m="1" x="1459"/>
        <item m="1" x="251"/>
        <item m="1" x="1336"/>
        <item m="1" x="333"/>
        <item m="1" x="1071"/>
        <item m="1" x="1074"/>
        <item m="1" x="646"/>
        <item m="1" x="1481"/>
        <item m="1" x="823"/>
        <item m="1" x="1034"/>
        <item m="1" x="545"/>
        <item m="1" x="949"/>
        <item m="1" x="438"/>
        <item m="1" x="1476"/>
        <item m="1" x="747"/>
        <item m="1" x="963"/>
        <item m="1" x="550"/>
        <item m="1" x="648"/>
        <item m="1" x="338"/>
        <item m="1" x="1149"/>
        <item m="1" x="889"/>
        <item m="1" x="666"/>
        <item m="1" x="605"/>
        <item m="1" x="1155"/>
        <item m="1" x="1341"/>
        <item m="1" x="1130"/>
        <item m="1" x="480"/>
        <item m="1" x="686"/>
        <item m="1" x="185"/>
        <item m="1" x="190"/>
        <item m="1" x="69"/>
        <item m="1" x="278"/>
        <item m="1" x="1078"/>
        <item m="1" x="309"/>
        <item m="1" x="943"/>
        <item m="1" x="55"/>
        <item m="1" x="342"/>
        <item m="1" x="1000"/>
        <item m="1" x="695"/>
        <item m="1" x="807"/>
        <item m="1" x="635"/>
        <item m="1" x="873"/>
        <item m="1" x="228"/>
        <item m="1" x="1293"/>
        <item m="1" x="502"/>
        <item m="1" x="11"/>
        <item m="1" x="135"/>
        <item m="1" x="1457"/>
        <item m="1" x="955"/>
        <item m="1" x="657"/>
        <item m="1" x="917"/>
        <item m="1" x="1418"/>
        <item m="1" x="249"/>
        <item m="1" x="1007"/>
        <item m="1" x="1369"/>
        <item m="1" x="1373"/>
        <item m="1" x="967"/>
        <item m="1" x="223"/>
        <item m="1" x="1248"/>
        <item m="1" x="316"/>
        <item m="1" x="1411"/>
        <item m="1" x="661"/>
        <item m="1" x="744"/>
        <item m="1" x="745"/>
        <item m="1" x="142"/>
        <item m="1" x="420"/>
        <item m="1" x="1403"/>
        <item m="1" x="527"/>
        <item m="1" x="7"/>
        <item m="1" x="653"/>
        <item m="1" x="1460"/>
        <item m="1" x="1261"/>
        <item m="1" x="1072"/>
        <item m="1" x="1330"/>
        <item m="1" x="46"/>
        <item m="1" x="1027"/>
        <item m="1" x="887"/>
        <item m="1" x="1294"/>
        <item m="1" x="1464"/>
        <item m="1" x="1094"/>
        <item m="1" x="869"/>
        <item m="1" x="1148"/>
        <item m="1" x="1075"/>
        <item m="1" x="89"/>
        <item m="1" x="562"/>
        <item m="1" x="115"/>
        <item m="1" x="310"/>
        <item m="1" x="219"/>
        <item m="1" x="193"/>
        <item m="1" x="1327"/>
        <item m="1" x="1050"/>
        <item m="1" x="221"/>
        <item m="1" x="942"/>
        <item m="1" x="934"/>
        <item m="1" x="479"/>
        <item m="1" x="565"/>
        <item m="1" x="366"/>
        <item m="1" x="1309"/>
        <item m="1" x="1203"/>
        <item m="1" x="946"/>
        <item m="1" x="998"/>
        <item m="1" x="945"/>
        <item m="1" x="1322"/>
        <item m="1" x="182"/>
        <item m="1" x="359"/>
        <item m="1" x="1042"/>
        <item m="1" x="1359"/>
        <item m="1" x="1131"/>
        <item m="1" x="1167"/>
        <item m="1" x="306"/>
        <item m="1" x="1197"/>
        <item m="1" x="962"/>
        <item m="1" x="659"/>
        <item m="1" x="8"/>
        <item m="1" x="308"/>
        <item m="1" x="1477"/>
        <item m="1" x="40"/>
        <item m="1" x="363"/>
        <item m="1" x="1478"/>
        <item m="1" x="181"/>
        <item m="1" x="582"/>
        <item m="1" x="37"/>
        <item m="1" x="517"/>
        <item m="1" x="1281"/>
        <item m="1" x="778"/>
        <item m="1" x="515"/>
        <item m="1" x="85"/>
        <item m="1" x="1298"/>
        <item m="1" x="508"/>
        <item m="1" x="1028"/>
        <item m="1" x="235"/>
        <item m="1" x="297"/>
        <item m="1" x="339"/>
        <item m="1" x="374"/>
        <item m="1" x="286"/>
        <item m="1" x="1390"/>
        <item m="1" x="863"/>
        <item m="1" x="640"/>
        <item m="1" x="1250"/>
        <item m="1" x="1361"/>
        <item m="1" x="379"/>
        <item m="1" x="1269"/>
        <item m="1" x="81"/>
        <item m="1" x="224"/>
        <item m="1" x="921"/>
        <item m="1" x="484"/>
        <item m="1" x="109"/>
        <item m="1" x="242"/>
        <item m="1" x="67"/>
        <item m="1" x="882"/>
        <item m="1" x="809"/>
        <item m="1" x="313"/>
        <item m="1" x="398"/>
        <item m="1" x="174"/>
        <item m="1" x="1453"/>
        <item m="1" x="592"/>
        <item m="1" x="539"/>
        <item m="1" x="66"/>
        <item m="1" x="1139"/>
        <item m="1" x="1465"/>
        <item m="1" x="1307"/>
        <item m="1" x="897"/>
        <item m="1" x="491"/>
        <item m="1" x="918"/>
        <item m="1" x="1440"/>
        <item m="1" x="860"/>
        <item m="1" x="237"/>
        <item m="1" x="1009"/>
        <item m="1" x="1472"/>
        <item m="1" x="435"/>
        <item m="1" x="1383"/>
        <item m="1" x="1189"/>
        <item m="1" x="324"/>
        <item m="1" x="39"/>
        <item m="1" x="454"/>
        <item m="1" x="810"/>
        <item m="1" x="1370"/>
        <item m="1" x="43"/>
        <item m="1" x="1434"/>
        <item m="1" x="766"/>
        <item m="1" x="1206"/>
        <item m="1" x="1136"/>
        <item m="1" x="614"/>
        <item m="1" x="378"/>
        <item m="1" x="1320"/>
        <item m="1" x="701"/>
        <item m="1" x="94"/>
        <item m="1" x="277"/>
        <item m="1" x="597"/>
        <item m="1" x="102"/>
        <item m="1" x="269"/>
        <item m="1" x="1292"/>
        <item m="1" x="305"/>
        <item m="1" x="1025"/>
        <item m="1" x="1201"/>
        <item m="1" x="170"/>
        <item m="1" x="422"/>
        <item m="1" x="1395"/>
        <item m="1" x="572"/>
        <item m="1" x="919"/>
        <item m="1" x="1100"/>
        <item m="1" x="724"/>
        <item m="1" x="729"/>
        <item m="1" x="652"/>
        <item m="1" x="961"/>
        <item m="1" x="1456"/>
        <item m="1" x="1324"/>
        <item m="1" x="45"/>
        <item m="1" x="840"/>
        <item m="1" x="836"/>
        <item m="1" x="1068"/>
        <item m="1" x="1202"/>
        <item m="1" x="1345"/>
        <item m="1" x="407"/>
        <item m="1" x="825"/>
        <item m="1" x="318"/>
        <item m="1" x="1475"/>
        <item m="1" x="343"/>
        <item m="1" x="1005"/>
        <item m="1" x="54"/>
        <item m="1" x="1199"/>
        <item m="1" x="672"/>
        <item m="1" x="321"/>
        <item m="1" x="781"/>
        <item m="1" x="1357"/>
        <item m="1" x="1318"/>
        <item m="1" x="689"/>
        <item m="1" x="847"/>
        <item m="1" x="692"/>
        <item m="1" x="123"/>
        <item m="1" x="1109"/>
        <item m="1" x="547"/>
        <item m="1" x="171"/>
        <item m="1" x="1211"/>
        <item m="1" x="226"/>
        <item m="1" x="792"/>
        <item m="1" x="868"/>
        <item m="1" x="1305"/>
        <item m="1" x="1306"/>
        <item m="1" x="1087"/>
        <item m="1" x="1280"/>
        <item m="1" x="618"/>
        <item m="1" x="613"/>
        <item m="1" x="569"/>
        <item m="1" x="1458"/>
        <item m="1" x="164"/>
        <item m="1" x="721"/>
        <item m="1" x="752"/>
        <item m="1" x="404"/>
        <item m="1" x="47"/>
        <item m="1" x="843"/>
        <item m="1" x="329"/>
        <item m="1" x="911"/>
        <item m="1" x="513"/>
        <item m="1" x="1486"/>
        <item m="1" x="710"/>
        <item m="1" x="571"/>
        <item m="1" x="861"/>
        <item m="1" x="431"/>
        <item m="1" x="804"/>
        <item m="1" x="526"/>
        <item m="1" x="1414"/>
        <item m="1" x="1026"/>
        <item m="1" x="1231"/>
        <item m="1" x="1436"/>
        <item m="1" x="1089"/>
        <item m="1" x="553"/>
        <item m="1" x="287"/>
        <item m="1" x="947"/>
        <item m="1" x="73"/>
        <item m="1" x="910"/>
        <item m="1" x="795"/>
        <item m="1" x="1393"/>
        <item m="1" x="965"/>
        <item m="1" x="510"/>
        <item m="1" x="1376"/>
        <item m="1" x="358"/>
        <item m="1" x="280"/>
        <item m="1" x="1473"/>
        <item m="1" x="346"/>
        <item m="1" x="1410"/>
        <item m="1" x="548"/>
        <item m="1" x="337"/>
        <item m="1" x="6"/>
        <item m="1" x="1484"/>
        <item m="1" x="143"/>
        <item m="1" x="570"/>
        <item m="1" x="114"/>
        <item m="1" x="1399"/>
        <item m="1" x="497"/>
        <item m="1" x="1469"/>
        <item m="1" x="690"/>
        <item m="1" x="348"/>
        <item m="1" x="696"/>
        <item m="1" x="1354"/>
        <item m="1" x="935"/>
        <item m="1" x="12"/>
        <item m="1" x="419"/>
        <item m="1" x="1377"/>
        <item m="1" x="1232"/>
        <item m="1" x="1117"/>
        <item m="1" x="1224"/>
        <item m="1" x="1247"/>
        <item m="1" x="608"/>
        <item m="1" x="405"/>
        <item m="1" x="1437"/>
        <item m="1" x="187"/>
        <item m="1" x="1303"/>
        <item m="1" x="180"/>
        <item m="1" x="859"/>
        <item m="1" x="350"/>
        <item m="1" x="444"/>
        <item m="1" x="21"/>
        <item m="1" x="1267"/>
        <item m="1" x="1314"/>
        <item m="1" x="1112"/>
        <item m="1" x="468"/>
        <item m="1" x="1142"/>
        <item m="1" x="556"/>
        <item m="1" x="289"/>
        <item m="1" x="82"/>
        <item m="1" x="676"/>
        <item m="1" x="113"/>
        <item m="1" x="1205"/>
        <item m="1" x="1225"/>
        <item m="1" x="1186"/>
        <item m="1" x="555"/>
        <item m="1" x="134"/>
        <item m="1" x="486"/>
        <item m="1" x="976"/>
        <item m="1" x="785"/>
        <item m="1" x="494"/>
        <item m="1" x="816"/>
        <item m="1" x="1316"/>
        <item m="1" x="1129"/>
        <item m="1" x="600"/>
        <item m="1" x="1423"/>
        <item m="1" x="230"/>
        <item m="1" x="1144"/>
        <item m="1" x="803"/>
        <item m="1" x="837"/>
        <item m="1" x="637"/>
        <item m="1" x="1088"/>
        <item m="1" x="1043"/>
        <item m="1" x="323"/>
        <item m="1" x="940"/>
        <item m="1" x="1119"/>
        <item m="1" x="1284"/>
        <item m="1" x="989"/>
        <item m="1" x="808"/>
        <item m="1" x="380"/>
        <item m="1" x="453"/>
        <item m="1" x="511"/>
        <item m="1" x="331"/>
        <item m="1" x="1191"/>
        <item m="1" x="814"/>
        <item m="1" x="1163"/>
        <item m="1" x="1107"/>
        <item m="1" x="1343"/>
        <item m="1" x="755"/>
        <item m="1" x="496"/>
        <item m="1" x="1432"/>
        <item m="1" x="702"/>
        <item m="1" x="299"/>
        <item m="1" x="775"/>
        <item m="1" x="933"/>
        <item m="1" x="583"/>
        <item m="1" x="725"/>
        <item m="1" x="1116"/>
        <item m="1" x="1251"/>
        <item m="1" x="83"/>
        <item m="1" x="151"/>
        <item m="1" x="155"/>
        <item m="1" x="218"/>
        <item m="1" x="531"/>
        <item m="1" x="874"/>
        <item m="1" x="383"/>
        <item m="1" x="1285"/>
        <item m="1" x="1040"/>
        <item m="1" x="1397"/>
        <item m="1" x="345"/>
        <item m="1" x="1118"/>
        <item m="1" x="761"/>
        <item m="1" x="645"/>
        <item m="1" x="1299"/>
        <item m="1" x="824"/>
        <item m="1" x="199"/>
        <item m="1" x="246"/>
        <item m="1" x="951"/>
        <item m="1" x="1143"/>
        <item m="1" x="233"/>
        <item m="1" x="74"/>
        <item m="1" x="1157"/>
        <item m="1" x="621"/>
        <item m="1" x="189"/>
        <item m="1" x="849"/>
        <item m="1" x="471"/>
        <item m="1" x="650"/>
        <item m="1" x="488"/>
        <item m="1" x="730"/>
        <item m="1" x="736"/>
        <item m="1" x="1455"/>
        <item m="1" x="1104"/>
        <item m="1" x="1253"/>
        <item m="1" x="1160"/>
        <item m="1" x="161"/>
        <item m="1" x="748"/>
        <item m="1" x="1018"/>
        <item m="1" x="1158"/>
        <item m="1" x="1237"/>
        <item m="1" x="739"/>
        <item m="1" x="452"/>
        <item m="1" x="13"/>
        <item m="1" x="693"/>
        <item m="1" x="1431"/>
        <item m="1" x="854"/>
        <item m="1" x="999"/>
        <item m="1" x="1381"/>
        <item m="1" x="1134"/>
        <item m="1" x="400"/>
        <item m="1" x="641"/>
        <item m="1" x="634"/>
        <item m="1" x="184"/>
        <item m="1" x="1196"/>
        <item m="1" x="1067"/>
        <item m="1" x="1277"/>
        <item m="1" x="17"/>
        <item m="1" x="504"/>
        <item m="1" x="881"/>
        <item m="1" x="581"/>
        <item m="1" x="558"/>
        <item m="1" x="296"/>
        <item m="1" x="905"/>
        <item m="1" x="1490"/>
        <item m="1" x="481"/>
        <item m="1" x="197"/>
        <item m="1" x="137"/>
        <item m="1" x="521"/>
        <item m="1" x="145"/>
        <item m="1" x="1"/>
        <item m="1" x="1019"/>
        <item m="1" x="819"/>
        <item m="1" x="677"/>
        <item m="1" x="990"/>
        <item m="1" x="1188"/>
        <item m="1" x="394"/>
        <item m="1" x="537"/>
        <item m="1" x="103"/>
        <item m="1" x="48"/>
        <item m="1" x="1036"/>
        <item m="1" x="42"/>
        <item m="1" x="1366"/>
        <item m="1" x="322"/>
        <item m="1" x="403"/>
        <item m="1" x="954"/>
        <item m="1" x="1171"/>
        <item m="1" x="1090"/>
        <item m="1" x="265"/>
        <item m="1" x="691"/>
        <item m="1" x="257"/>
        <item m="1" x="1454"/>
        <item m="1" x="1493"/>
        <item m="1" x="92"/>
        <item m="1" x="1420"/>
        <item m="1" x="507"/>
        <item m="1" x="1407"/>
        <item m="1" x="958"/>
        <item m="1" x="670"/>
        <item m="1" x="1279"/>
        <item m="1" x="922"/>
        <item m="1" x="1387"/>
        <item m="1" x="268"/>
        <item m="1" x="876"/>
        <item m="1" x="293"/>
        <item m="1" x="183"/>
        <item m="1" x="1216"/>
        <item m="1" x="1496"/>
        <item m="1" x="3"/>
        <item m="1" x="241"/>
        <item m="1" x="362"/>
        <item m="1" x="157"/>
        <item m="1" x="1127"/>
        <item m="1" x="175"/>
        <item m="1" x="1392"/>
        <item m="1" x="762"/>
        <item m="1" x="557"/>
        <item m="1" x="982"/>
        <item m="1" x="878"/>
        <item m="1" x="1128"/>
        <item m="1" x="848"/>
        <item m="1" x="349"/>
        <item m="1" x="1085"/>
        <item m="1" x="898"/>
        <item m="1" x="1480"/>
        <item m="1" x="938"/>
        <item m="1" x="589"/>
        <item m="1" x="796"/>
        <item m="1" x="465"/>
        <item m="1" x="930"/>
        <item m="1" x="212"/>
        <item m="1" x="450"/>
        <item m="1" x="292"/>
        <item m="1" x="680"/>
        <item m="1" x="712"/>
        <item m="1" x="1282"/>
        <item m="1" x="576"/>
        <item m="1" x="449"/>
        <item m="1" x="727"/>
        <item m="1" x="1065"/>
        <item m="1" x="1052"/>
        <item m="1" x="1417"/>
        <item m="1" x="1062"/>
        <item m="1" x="169"/>
        <item m="1" x="294"/>
        <item m="1" x="994"/>
        <item m="1" x="1230"/>
        <item m="1" x="124"/>
        <item m="1" x="1385"/>
        <item m="1" x="302"/>
        <item m="1" x="588"/>
        <item m="1" x="147"/>
        <item m="1" x="1492"/>
        <item m="1" x="811"/>
        <item m="1" x="1326"/>
        <item m="1" x="1233"/>
        <item m="1" x="1222"/>
        <item m="1" x="304"/>
        <item m="1" x="554"/>
        <item m="1" x="839"/>
        <item m="1" x="631"/>
        <item m="1" x="389"/>
        <item m="1" x="1210"/>
        <item m="1" x="200"/>
        <item m="1" x="105"/>
        <item m="1" x="561"/>
        <item m="1" x="1077"/>
        <item m="1" x="536"/>
        <item m="1" x="364"/>
        <item m="1" x="1297"/>
        <item m="1" x="1120"/>
        <item m="1" x="361"/>
        <item m="1" x="1404"/>
        <item m="1" x="1273"/>
        <item m="1" x="780"/>
        <item m="1" x="97"/>
        <item m="1" x="746"/>
        <item m="1" x="1317"/>
        <item m="1" x="1014"/>
        <item m="1" x="622"/>
        <item m="1" x="112"/>
        <item m="1" x="1386"/>
        <item m="1" x="232"/>
        <item m="1" x="1349"/>
        <item m="1" x="673"/>
        <item m="1" x="668"/>
        <item m="1" x="870"/>
        <item m="1" x="722"/>
        <item m="1" x="772"/>
        <item m="1" x="857"/>
        <item m="1" x="880"/>
        <item m="1" x="798"/>
        <item m="1" x="127"/>
        <item m="1" x="633"/>
        <item m="1" x="1441"/>
        <item m="1" x="1255"/>
        <item m="1" x="121"/>
        <item m="1" x="312"/>
        <item m="1" x="211"/>
        <item m="1" x="1208"/>
        <item m="1" x="805"/>
        <item m="1" x="173"/>
        <item m="1" x="996"/>
        <item m="1" x="456"/>
        <item m="1" x="216"/>
        <item m="1" x="340"/>
        <item m="1" x="1274"/>
        <item m="1" x="1080"/>
        <item m="1" x="714"/>
        <item m="1" x="900"/>
        <item m="1" x="694"/>
        <item m="1" x="638"/>
        <item m="1" x="704"/>
        <item m="1" x="888"/>
        <item m="1" x="86"/>
        <item m="1" x="1223"/>
        <item m="1" x="844"/>
        <item m="1" x="434"/>
        <item m="1" x="612"/>
        <item m="1" x="110"/>
        <item m="1" x="273"/>
        <item m="1" x="852"/>
        <item m="1" x="424"/>
        <item m="1" x="586"/>
        <item m="1" x="602"/>
        <item m="1" x="568"/>
        <item m="1" x="647"/>
        <item m="1" x="458"/>
        <item m="1" x="300"/>
        <item m="1" x="159"/>
        <item m="1" x="1463"/>
        <item m="1" x="78"/>
        <item m="1" x="651"/>
        <item m="1" x="1332"/>
        <item m="1" x="77"/>
        <item m="1" x="737"/>
        <item m="1" x="303"/>
        <item m="1" x="470"/>
        <item m="1" x="1073"/>
        <item m="1" x="977"/>
        <item m="1" x="1219"/>
        <item m="1" x="281"/>
        <item m="1" x="1355"/>
        <item m="1" x="1082"/>
        <item m="1" x="1235"/>
        <item m="1" x="667"/>
        <item m="1" x="203"/>
        <item m="1" x="332"/>
        <item m="1" x="1154"/>
        <item m="1" x="1333"/>
        <item m="1" x="923"/>
        <item m="1" x="125"/>
        <item m="1" x="1045"/>
        <item m="1" x="610"/>
        <item m="1" x="1083"/>
        <item m="1" x="1358"/>
        <item m="1" x="188"/>
        <item m="1" x="535"/>
        <item m="1" x="1147"/>
        <item m="1" x="567"/>
        <item m="1" x="1329"/>
        <item m="1" x="133"/>
        <item m="1" x="1023"/>
        <item m="1" x="1275"/>
        <item m="1" x="662"/>
        <item m="1" x="768"/>
        <item m="1" x="24"/>
        <item m="1" x="624"/>
        <item m="1" x="271"/>
        <item m="1" x="209"/>
        <item m="1" x="1389"/>
        <item m="1" x="1181"/>
        <item m="1" x="663"/>
        <item m="1" x="534"/>
        <item m="1" x="1182"/>
        <item m="1" x="177"/>
        <item m="1" x="1132"/>
        <item m="1" x="148"/>
        <item m="1" x="620"/>
        <item m="1" x="1241"/>
        <item m="1" x="131"/>
        <item m="1" x="944"/>
        <item m="1" x="834"/>
        <item m="1" x="956"/>
        <item m="1" x="1487"/>
        <item m="1" x="426"/>
        <item m="1" x="437"/>
        <item m="1" x="119"/>
        <item m="1" x="1342"/>
        <item m="1" x="229"/>
        <item m="1" x="1295"/>
        <item m="1" x="883"/>
        <item m="1" x="222"/>
        <item m="1" x="932"/>
        <item m="1" x="826"/>
        <item m="1" x="1108"/>
        <item m="1" x="503"/>
        <item m="1" x="1406"/>
        <item m="1" x="705"/>
        <item m="1" x="1382"/>
        <item m="1" x="1312"/>
        <item m="1" x="717"/>
        <item m="1" x="1033"/>
        <item m="1" x="260"/>
        <item m="1" x="1035"/>
        <item m="1" x="907"/>
        <item m="1" x="1325"/>
        <item m="1" x="201"/>
        <item m="1" x="353"/>
        <item m="1" x="1069"/>
        <item m="1" x="904"/>
        <item m="1" x="1020"/>
        <item m="1" x="1146"/>
        <item m="1" x="750"/>
        <item m="1" x="1259"/>
        <item m="1" x="573"/>
        <item m="1" x="1221"/>
        <item m="1" x="992"/>
        <item m="1" x="1093"/>
        <item m="1" x="797"/>
        <item m="1" x="1164"/>
        <item m="1" x="514"/>
        <item m="1" x="551"/>
        <item m="1" x="1287"/>
        <item m="1" x="1242"/>
        <item m="1" x="1339"/>
        <item m="1" x="139"/>
        <item m="1" x="371"/>
        <item m="1" x="387"/>
        <item m="1" x="238"/>
        <item m="1" x="186"/>
        <item m="1" x="1367"/>
        <item m="1" x="344"/>
        <item m="1" x="598"/>
        <item m="1" x="1161"/>
        <item m="1" x="455"/>
        <item m="1" x="1156"/>
        <item m="1" x="1115"/>
        <item m="1" x="719"/>
        <item m="1" x="669"/>
        <item m="1" x="373"/>
        <item m="1" x="57"/>
        <item m="1" x="498"/>
        <item m="1" x="336"/>
        <item m="1" x="991"/>
        <item m="1" x="191"/>
        <item m="1" x="779"/>
        <item m="1" x="32"/>
        <item m="1" x="757"/>
        <item m="1" x="817"/>
        <item m="1" x="446"/>
        <item m="1" x="742"/>
        <item m="1" x="926"/>
        <item m="1" x="1051"/>
        <item m="1" x="969"/>
        <item m="1" x="120"/>
        <item m="1" x="1347"/>
        <item m="1" x="579"/>
        <item m="1" x="674"/>
        <item m="1" x="100"/>
        <item m="1" x="1352"/>
        <item m="1" x="1150"/>
        <item m="1" x="68"/>
        <item m="1" x="688"/>
        <item m="1" x="95"/>
        <item m="1" x="928"/>
        <item m="1" x="929"/>
        <item m="1" x="1501"/>
        <item m="1" x="609"/>
        <item m="1" x="833"/>
        <item m="1" x="525"/>
        <item m="1" x="52"/>
        <item m="1" x="777"/>
        <item m="1" x="871"/>
        <item m="1" x="406"/>
        <item m="1" x="253"/>
        <item m="1" x="703"/>
        <item m="1" x="1264"/>
        <item m="1" x="284"/>
        <item m="1" x="418"/>
        <item m="1" x="163"/>
        <item m="1" x="1443"/>
        <item m="1" x="936"/>
        <item m="1" x="1257"/>
        <item m="1" x="1180"/>
        <item m="1" x="1438"/>
        <item m="1" x="1408"/>
        <item m="1" x="1338"/>
        <item m="1" x="130"/>
        <item m="1" x="577"/>
        <item m="1" x="317"/>
        <item m="1" x="1212"/>
        <item m="1" x="15"/>
        <item m="1" x="723"/>
        <item m="1" x="126"/>
        <item m="1" x="1229"/>
        <item m="1" x="75"/>
        <item m="1" x="879"/>
        <item m="1" x="1177"/>
        <item m="1" x="812"/>
        <item m="1" x="1021"/>
        <item m="1" x="630"/>
        <item m="1" x="974"/>
        <item m="1" x="10"/>
        <item m="1" x="831"/>
        <item m="1" x="1265"/>
        <item m="1" x="927"/>
        <item m="1" x="682"/>
        <item m="1" x="214"/>
        <item m="1" x="1092"/>
        <item m="1" x="291"/>
        <item m="1" x="1360"/>
        <item m="1" x="756"/>
        <item m="1" x="1301"/>
        <item m="1" x="931"/>
        <item m="1" x="1447"/>
        <item m="1" x="1396"/>
        <item m="1" x="783"/>
        <item m="1" x="1168"/>
        <item m="1" x="1362"/>
        <item m="1" x="1239"/>
        <item m="1" x="707"/>
        <item m="1" x="1412"/>
        <item m="1" x="1451"/>
        <item m="1" x="941"/>
        <item m="1" x="116"/>
        <item m="1" x="584"/>
        <item m="1" x="1351"/>
        <item m="1" x="1321"/>
        <item m="1" x="987"/>
        <item m="1" x="713"/>
        <item m="1" x="1271"/>
        <item m="1" x="14"/>
        <item m="1" x="1123"/>
        <item m="1" x="679"/>
        <item m="1" x="192"/>
        <item m="1" x="390"/>
        <item m="1" x="71"/>
        <item m="1" x="875"/>
        <item m="1" x="773"/>
        <item m="1" x="656"/>
        <item m="1" x="964"/>
        <item m="1" x="595"/>
        <item m="1" x="1152"/>
        <item m="1" x="492"/>
        <item m="1" x="596"/>
        <item m="1" x="1159"/>
        <item m="1" x="866"/>
        <item m="1" x="195"/>
        <item m="1" x="732"/>
        <item m="1" x="1416"/>
        <item m="1" x="154"/>
        <item m="1" x="311"/>
        <item m="1" x="473"/>
        <item m="1" x="851"/>
        <item m="1" x="1174"/>
        <item m="1" x="1044"/>
        <item m="1" x="1049"/>
        <item m="1" x="447"/>
        <item m="1" x="38"/>
        <item m="1" x="711"/>
        <item m="1" x="1300"/>
        <item m="1" x="1243"/>
        <item m="1" x="619"/>
        <item m="1" x="1365"/>
        <item m="1" x="1378"/>
        <item m="1" x="1331"/>
        <item x="0"/>
        <item m="1" x="30"/>
        <item m="1" x="172"/>
        <item m="1" x="853"/>
        <item m="1" x="1405"/>
        <item m="1" x="377"/>
        <item m="1" x="88"/>
        <item m="1" x="1425"/>
        <item m="1" x="1445"/>
        <item m="1" x="90"/>
        <item m="1" x="1183"/>
        <item m="1" x="850"/>
        <item m="1" x="1098"/>
        <item m="1" x="1213"/>
        <item m="1" x="1185"/>
        <item m="1" x="615"/>
        <item m="1" x="381"/>
        <item m="1" x="467"/>
        <item m="1" x="152"/>
        <item m="1" x="828"/>
        <item m="1" x="443"/>
        <item m="1" x="865"/>
        <item m="1" x="1494"/>
        <item m="1" x="1061"/>
        <item m="1" x="1198"/>
        <item m="1" x="1319"/>
        <item m="1" x="391"/>
        <item m="1" x="1466"/>
        <item m="1" x="1304"/>
        <item m="1" x="530"/>
        <item m="1" x="1252"/>
        <item m="1" x="320"/>
        <item m="1" x="1462"/>
        <item m="1" x="1372"/>
        <item m="1" x="1311"/>
        <item m="1" x="1433"/>
        <item m="1" x="959"/>
        <item m="1" x="699"/>
        <item m="1" x="500"/>
        <item m="1" x="16"/>
        <item m="1" x="196"/>
        <item m="1" x="1091"/>
        <item m="1" x="1207"/>
        <item m="1" x="202"/>
        <item m="1" x="275"/>
        <item m="1" x="698"/>
        <item m="1" x="236"/>
        <item m="1" x="264"/>
        <item m="1" x="41"/>
        <item m="1" x="1245"/>
        <item m="1" x="1022"/>
        <item m="1" x="483"/>
        <item m="1" x="1240"/>
        <item m="1" x="26"/>
        <item m="1" x="427"/>
        <item m="1" x="1474"/>
        <item m="1" x="1037"/>
        <item m="1" x="684"/>
        <item m="1" x="475"/>
        <item m="1" x="735"/>
        <item m="1" x="913"/>
        <item m="1" x="842"/>
        <item m="1" x="445"/>
        <item m="1" x="1138"/>
        <item m="1" x="160"/>
        <item m="1" x="912"/>
        <item m="1" x="149"/>
        <item m="1" x="194"/>
        <item m="1" x="376"/>
        <item m="1" x="1173"/>
        <item m="1" x="178"/>
        <item m="1" x="1413"/>
        <item m="1" x="1046"/>
        <item m="1" x="939"/>
        <item m="1" x="1011"/>
        <item m="1" x="279"/>
        <item m="1" x="61"/>
        <item m="1" x="643"/>
        <item m="1" x="44"/>
        <item m="1" x="326"/>
        <item m="1" x="1328"/>
        <item m="1" x="388"/>
        <item m="1" x="1356"/>
        <item m="1" x="274"/>
        <item m="1" x="476"/>
        <item m="1" x="903"/>
        <item m="1" x="726"/>
        <item m="1" x="1041"/>
        <item m="1" x="997"/>
        <item m="1" x="354"/>
        <item m="1" x="738"/>
        <item m="1" x="144"/>
        <item m="1" x="639"/>
        <item m="1" x="1135"/>
        <item m="1" x="1218"/>
        <item m="1" x="402"/>
        <item m="1" x="1016"/>
        <item m="1" x="832"/>
        <item m="1" x="408"/>
        <item m="1" x="983"/>
        <item m="1" x="382"/>
        <item m="1" x="544"/>
        <item m="1" x="250"/>
        <item m="1" x="1497"/>
        <item m="1" x="421"/>
        <item m="1" x="818"/>
        <item m="1" x="459"/>
        <item m="1" x="1398"/>
        <item m="1" x="549"/>
        <item m="1" x="441"/>
        <item m="1" x="671"/>
        <item m="1" x="1374"/>
        <item m="1" x="409"/>
        <item m="1" x="664"/>
        <item m="1" x="564"/>
        <item m="1" x="1479"/>
        <item m="1" x="678"/>
        <item m="1" x="1039"/>
        <item m="1" x="19"/>
        <item m="1" x="243"/>
        <item m="1" x="1172"/>
        <item m="1" x="925"/>
        <item m="1" x="791"/>
        <item m="1" x="128"/>
        <item m="1" x="129"/>
        <item m="1" x="1315"/>
        <item m="1" x="617"/>
        <item m="1" x="138"/>
        <item m="1" x="518"/>
        <item m="1" x="1209"/>
        <item m="1" x="546"/>
        <item m="1" x="1056"/>
        <item m="1" x="1192"/>
        <item m="1" x="416"/>
        <item m="1" x="1003"/>
        <item m="1" x="1141"/>
        <item m="1" x="1430"/>
        <item m="1" x="150"/>
        <item m="1" x="765"/>
        <item m="1" x="433"/>
        <item m="1" x="1121"/>
        <item m="1" x="384"/>
        <item m="1" x="375"/>
        <item m="1" x="252"/>
        <item m="1" x="625"/>
        <item m="1" x="1449"/>
        <item m="1" x="1364"/>
        <item m="1" x="1346"/>
        <item m="1" x="99"/>
        <item m="1" x="784"/>
        <item m="1" x="28"/>
        <item m="1" x="117"/>
        <item m="1" x="971"/>
        <item m="1" x="1110"/>
        <item m="1" x="1289"/>
        <item m="1" x="146"/>
        <item m="1" x="397"/>
        <item m="1" x="436"/>
        <item m="1" x="506"/>
        <item m="1" x="478"/>
        <item m="1" x="315"/>
        <item m="1" x="179"/>
        <item m="1" x="430"/>
        <item m="1" x="529"/>
        <item m="1" x="314"/>
        <item m="1" x="79"/>
        <item m="1" x="1103"/>
        <item m="1" x="27"/>
        <item m="1" x="176"/>
        <item m="1" x="603"/>
        <item m="1" x="158"/>
        <item m="1" x="902"/>
        <item m="1" x="845"/>
        <item m="1" x="141"/>
        <item m="1" x="1471"/>
        <item m="1" x="1310"/>
        <item m="1" x="266"/>
        <item m="1" x="593"/>
        <item m="1" x="1424"/>
        <item m="1" x="1270"/>
        <item m="1" x="1008"/>
        <item m="1" x="864"/>
        <item m="1" x="802"/>
        <item m="1" x="1394"/>
        <item m="1" x="247"/>
        <item m="1" x="715"/>
        <item m="1" x="1422"/>
        <item m="1" x="1226"/>
        <item m="1" x="953"/>
        <item m="1" x="225"/>
        <item m="1" x="709"/>
        <item m="1" x="256"/>
        <item m="1" x="743"/>
        <item m="1" x="985"/>
        <item m="1" x="20"/>
        <item m="1" x="901"/>
        <item m="1" x="1217"/>
        <item m="1" x="29"/>
        <item m="1" x="1286"/>
        <item m="1" x="248"/>
        <item m="1" x="970"/>
        <item m="1" x="914"/>
        <item m="1" x="1012"/>
        <item m="1" x="563"/>
        <item m="1" x="469"/>
        <item m="1" x="1140"/>
        <item m="1" x="307"/>
        <item m="1" x="106"/>
        <item m="1" x="835"/>
        <item m="1" x="988"/>
        <item m="1" x="347"/>
        <item m="1" x="1086"/>
        <item m="1" x="523"/>
        <item m="1" x="846"/>
        <item m="1" x="341"/>
        <item m="1" x="1151"/>
        <item m="1" x="410"/>
        <item m="1" x="728"/>
        <item m="1" x="718"/>
        <item m="1" x="741"/>
      </items>
      <autoSortScope>
        <pivotArea dataOnly="0" outline="0" fieldPosition="0">
          <references count="1">
            <reference field="4294967294" count="1" selected="0">
              <x v="5"/>
            </reference>
          </references>
        </pivotArea>
      </autoSortScope>
    </pivotField>
    <pivotField compact="0" numFmtId="22" outline="0" showAll="0" defaultSubtotal="0"/>
    <pivotField compact="0" outline="0" showAll="0" defaultSubtotal="0"/>
    <pivotField compact="0" outline="0" showAll="0" defaultSubtotal="0"/>
    <pivotField compact="0" numFmtId="22" outline="0" showAll="0" defaultSubtotal="0"/>
    <pivotField compact="0" outline="0" showAll="0" defaultSubtotal="0"/>
    <pivotField compact="0" outline="0" showAll="0" defaultSubtotal="0"/>
    <pivotField compact="0" numFmtId="22" outline="0" showAll="0" defaultSubtotal="0"/>
    <pivotField dataField="1" compact="0" outline="0" showAll="0"/>
    <pivotField dataField="1" compact="0" outline="0" showAll="0"/>
    <pivotField dataField="1" compact="0" outline="0" showAll="0"/>
    <pivotField dataField="1" compact="0" outline="0" showAll="0"/>
    <pivotField dataField="1" compact="0" outline="0" showAll="0"/>
    <pivotField dataField="1" compact="0" numFmtId="44" outline="0" showAll="0"/>
    <pivotField compact="0" outline="0" showAll="0"/>
    <pivotField compact="0" outline="0" showAll="0"/>
    <pivotField compact="0" outline="0" showAll="0"/>
    <pivotField compact="0" numFmtId="44" outline="0" showAll="0" defaultSubtotal="0"/>
    <pivotField compact="0" numFmtId="44" outline="0" showAll="0" defaultSubtotal="0"/>
  </pivotFields>
  <rowFields count="1">
    <field x="2"/>
  </rowFields>
  <rowItems count="2">
    <i>
      <x v="38"/>
    </i>
    <i t="grand">
      <x/>
    </i>
  </rowItems>
  <colFields count="1">
    <field x="-2"/>
  </colFields>
  <colItems count="6">
    <i>
      <x/>
    </i>
    <i i="1">
      <x v="1"/>
    </i>
    <i i="2">
      <x v="2"/>
    </i>
    <i i="3">
      <x v="3"/>
    </i>
    <i i="4">
      <x v="4"/>
    </i>
    <i i="5">
      <x v="5"/>
    </i>
  </colItems>
  <pageFields count="2">
    <pageField fld="0" hier="-1"/>
    <pageField fld="3" hier="-1"/>
  </pageFields>
  <dataFields count="6">
    <dataField name="Current Amount" fld="14" baseField="2" baseItem="0" numFmtId="4"/>
    <dataField name="1-30 Amoung" fld="15" baseField="2" baseItem="0" numFmtId="4"/>
    <dataField name="31-60 Amount" fld="16" baseField="2" baseItem="0" numFmtId="4"/>
    <dataField name="61-90 Amount" fld="17" baseField="2" baseItem="0" numFmtId="4"/>
    <dataField name="Over 90 Amount" fld="18" baseField="2" baseItem="0" numFmtId="4"/>
    <dataField name="Total Aged" fld="19" baseField="2" baseItem="0" numFmtId="4"/>
  </dataFields>
  <formats count="24">
    <format dxfId="179">
      <pivotArea type="all" dataOnly="0" outline="0" fieldPosition="0"/>
    </format>
    <format dxfId="178">
      <pivotArea field="6" type="button" dataOnly="0" labelOnly="1" outline="0"/>
    </format>
    <format dxfId="177">
      <pivotArea dataOnly="0" labelOnly="1" outline="0" fieldPosition="0">
        <references count="1">
          <reference field="4294967294" count="6">
            <x v="0"/>
            <x v="1"/>
            <x v="2"/>
            <x v="3"/>
            <x v="4"/>
            <x v="5"/>
          </reference>
        </references>
      </pivotArea>
    </format>
    <format dxfId="176">
      <pivotArea field="6" type="button" dataOnly="0" labelOnly="1" outline="0"/>
    </format>
    <format dxfId="175">
      <pivotArea dataOnly="0" labelOnly="1" outline="0" fieldPosition="0">
        <references count="1">
          <reference field="4294967294" count="6">
            <x v="0"/>
            <x v="1"/>
            <x v="2"/>
            <x v="3"/>
            <x v="4"/>
            <x v="5"/>
          </reference>
        </references>
      </pivotArea>
    </format>
    <format dxfId="174">
      <pivotArea dataOnly="0" grandRow="1" outline="0" axis="axisRow" fieldPosition="0"/>
    </format>
    <format dxfId="173">
      <pivotArea dataOnly="0" grandRow="1" outline="0" axis="axisRow" fieldPosition="0"/>
    </format>
    <format dxfId="172">
      <pivotArea dataOnly="0" outline="0" fieldPosition="0">
        <references count="1">
          <reference field="4294967294" count="6">
            <x v="0"/>
            <x v="1"/>
            <x v="2"/>
            <x v="3"/>
            <x v="4"/>
            <x v="5"/>
          </reference>
        </references>
      </pivotArea>
    </format>
    <format dxfId="171">
      <pivotArea dataOnly="0" labelOnly="1" outline="0" fieldPosition="0">
        <references count="1">
          <reference field="4294967294" count="6">
            <x v="0"/>
            <x v="1"/>
            <x v="2"/>
            <x v="3"/>
            <x v="4"/>
            <x v="5"/>
          </reference>
        </references>
      </pivotArea>
    </format>
    <format dxfId="170">
      <pivotArea dataOnly="0" labelOnly="1" outline="0" fieldPosition="0">
        <references count="1">
          <reference field="4294967294" count="6">
            <x v="0"/>
            <x v="1"/>
            <x v="2"/>
            <x v="3"/>
            <x v="4"/>
            <x v="5"/>
          </reference>
        </references>
      </pivotArea>
    </format>
    <format dxfId="169">
      <pivotArea grandRow="1" outline="0" collapsedLevelsAreSubtotals="1" fieldPosition="0"/>
    </format>
    <format dxfId="168">
      <pivotArea dataOnly="0" labelOnly="1" grandRow="1" outline="0" fieldPosition="0"/>
    </format>
    <format dxfId="167">
      <pivotArea outline="0" fieldPosition="0">
        <references count="1">
          <reference field="4294967294" count="1">
            <x v="0"/>
          </reference>
        </references>
      </pivotArea>
    </format>
    <format dxfId="166">
      <pivotArea outline="0" fieldPosition="0">
        <references count="1">
          <reference field="4294967294" count="1">
            <x v="1"/>
          </reference>
        </references>
      </pivotArea>
    </format>
    <format dxfId="165">
      <pivotArea outline="0" fieldPosition="0">
        <references count="1">
          <reference field="4294967294" count="1">
            <x v="2"/>
          </reference>
        </references>
      </pivotArea>
    </format>
    <format dxfId="164">
      <pivotArea outline="0" fieldPosition="0">
        <references count="1">
          <reference field="4294967294" count="1">
            <x v="3"/>
          </reference>
        </references>
      </pivotArea>
    </format>
    <format dxfId="163">
      <pivotArea outline="0" fieldPosition="0">
        <references count="1">
          <reference field="4294967294" count="1">
            <x v="4"/>
          </reference>
        </references>
      </pivotArea>
    </format>
    <format dxfId="162">
      <pivotArea outline="0" fieldPosition="0">
        <references count="1">
          <reference field="4294967294" count="1">
            <x v="5"/>
          </reference>
        </references>
      </pivotArea>
    </format>
    <format dxfId="161">
      <pivotArea outline="0" fieldPosition="0">
        <references count="1">
          <reference field="4294967294" count="1">
            <x v="0"/>
          </reference>
        </references>
      </pivotArea>
    </format>
    <format dxfId="160">
      <pivotArea outline="0" fieldPosition="0">
        <references count="1">
          <reference field="4294967294" count="1">
            <x v="1"/>
          </reference>
        </references>
      </pivotArea>
    </format>
    <format dxfId="159">
      <pivotArea outline="0" fieldPosition="0">
        <references count="1">
          <reference field="4294967294" count="1">
            <x v="2"/>
          </reference>
        </references>
      </pivotArea>
    </format>
    <format dxfId="158">
      <pivotArea outline="0" fieldPosition="0">
        <references count="1">
          <reference field="4294967294" count="1">
            <x v="3"/>
          </reference>
        </references>
      </pivotArea>
    </format>
    <format dxfId="157">
      <pivotArea outline="0" fieldPosition="0">
        <references count="1">
          <reference field="4294967294" count="1">
            <x v="4"/>
          </reference>
        </references>
      </pivotArea>
    </format>
    <format dxfId="156">
      <pivotArea outline="0" fieldPosition="0">
        <references count="1">
          <reference field="4294967294" count="1">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6" applyNumberFormats="0" applyBorderFormats="0" applyFontFormats="0" applyPatternFormats="0" applyAlignmentFormats="0" applyWidthHeightFormats="1" dataCaption="Values" missingCaption="0" updatedVersion="6" minRefreshableVersion="3" itemPrintTitles="1" createdVersion="5" indent="0" compact="0" compactData="0" multipleFieldFilters="0">
  <location ref="A11:G13" firstHeaderRow="0" firstDataRow="1" firstDataCol="1" rowPageCount="1" colPageCount="1"/>
  <pivotFields count="25">
    <pivotField axis="axisPage" compact="0" outline="0" showAll="0">
      <items count="5">
        <item m="1" x="2"/>
        <item m="1" x="3"/>
        <item m="1" x="1"/>
        <item x="0"/>
        <item t="default"/>
      </items>
    </pivotField>
    <pivotField compact="0" outline="0" showAll="0" defaultSubtotal="0"/>
    <pivotField compact="0" outline="0" showAll="0" defaultSubtotal="0"/>
    <pivotField axis="axisRow" compact="0" outline="0" showAll="0" sortType="descending">
      <items count="1989">
        <item m="1" x="1"/>
        <item m="1" x="1238"/>
        <item m="1" x="275"/>
        <item m="1" x="60"/>
        <item m="1" x="1401"/>
        <item m="1" x="1579"/>
        <item m="1" x="1307"/>
        <item m="1" x="416"/>
        <item m="1" x="14"/>
        <item m="1" x="796"/>
        <item m="1" x="813"/>
        <item m="1" x="941"/>
        <item m="1" x="608"/>
        <item m="1" x="1384"/>
        <item m="1" x="213"/>
        <item m="1" x="410"/>
        <item m="1" x="1247"/>
        <item m="1" x="694"/>
        <item m="1" x="461"/>
        <item m="1" x="932"/>
        <item m="1" x="1399"/>
        <item m="1" x="193"/>
        <item m="1" x="57"/>
        <item m="1" x="1739"/>
        <item m="1" x="556"/>
        <item m="1" x="1673"/>
        <item m="1" x="862"/>
        <item m="1" x="542"/>
        <item m="1" x="1794"/>
        <item m="1" x="994"/>
        <item m="1" x="724"/>
        <item m="1" x="1311"/>
        <item m="1" x="119"/>
        <item m="1" x="1921"/>
        <item m="1" x="964"/>
        <item m="1" x="1312"/>
        <item m="1" x="21"/>
        <item m="1" x="1221"/>
        <item m="1" x="574"/>
        <item m="1" x="1504"/>
        <item m="1" x="1637"/>
        <item m="1" x="1135"/>
        <item m="1" x="1896"/>
        <item m="1" x="1329"/>
        <item m="1" x="826"/>
        <item m="1" x="232"/>
        <item m="1" x="627"/>
        <item m="1" x="1639"/>
        <item m="1" x="1727"/>
        <item m="1" x="332"/>
        <item m="1" x="174"/>
        <item m="1" x="1933"/>
        <item m="1" x="778"/>
        <item m="1" x="468"/>
        <item m="1" x="1094"/>
        <item m="1" x="1670"/>
        <item m="1" x="1546"/>
        <item m="1" x="1244"/>
        <item m="1" x="737"/>
        <item m="1" x="122"/>
        <item m="1" x="1162"/>
        <item m="1" x="1972"/>
        <item m="1" x="1939"/>
        <item m="1" x="340"/>
        <item m="1" x="577"/>
        <item m="1" x="1576"/>
        <item m="1" x="411"/>
        <item m="1" x="940"/>
        <item m="1" x="158"/>
        <item m="1" x="791"/>
        <item m="1" x="274"/>
        <item m="1" x="291"/>
        <item m="1" x="1236"/>
        <item m="1" x="928"/>
        <item m="1" x="1160"/>
        <item m="1" x="1492"/>
        <item m="1" x="306"/>
        <item m="1" x="792"/>
        <item m="1" x="1690"/>
        <item m="1" x="1449"/>
        <item m="1" x="769"/>
        <item m="1" x="120"/>
        <item m="1" x="515"/>
        <item m="1" x="1293"/>
        <item m="1" x="249"/>
        <item m="1" x="640"/>
        <item m="1" x="481"/>
        <item m="1" x="1189"/>
        <item m="1" x="277"/>
        <item m="1" x="1602"/>
        <item m="1" x="783"/>
        <item m="1" x="1737"/>
        <item m="1" x="1811"/>
        <item m="1" x="781"/>
        <item m="1" x="1949"/>
        <item m="1" x="1283"/>
        <item m="1" x="289"/>
        <item m="1" x="1886"/>
        <item m="1" x="448"/>
        <item m="1" x="1941"/>
        <item m="1" x="795"/>
        <item m="1" x="681"/>
        <item m="1" x="1883"/>
        <item m="1" x="615"/>
        <item m="1" x="1163"/>
        <item m="1" x="1701"/>
        <item m="1" x="1868"/>
        <item m="1" x="1878"/>
        <item m="1" x="1489"/>
        <item m="1" x="39"/>
        <item m="1" x="658"/>
        <item m="1" x="1555"/>
        <item m="1" x="1853"/>
        <item m="1" x="1712"/>
        <item m="1" x="1036"/>
        <item m="1" x="1041"/>
        <item m="1" x="785"/>
        <item m="1" x="1967"/>
        <item m="1" x="818"/>
        <item m="1" x="809"/>
        <item m="1" x="211"/>
        <item m="1" x="951"/>
        <item m="1" x="1196"/>
        <item m="1" x="280"/>
        <item m="1" x="1700"/>
        <item m="1" x="165"/>
        <item m="1" x="971"/>
        <item m="1" x="957"/>
        <item m="1" x="316"/>
        <item m="1" x="1472"/>
        <item m="1" x="517"/>
        <item m="1" x="1840"/>
        <item m="1" x="1704"/>
        <item m="1" x="1170"/>
        <item m="1" x="1629"/>
        <item m="1" x="678"/>
        <item m="1" x="1028"/>
        <item m="1" x="235"/>
        <item m="1" x="817"/>
        <item m="1" x="725"/>
        <item m="1" x="840"/>
        <item m="1" x="1157"/>
        <item m="1" x="1572"/>
        <item m="1" x="1532"/>
        <item m="1" x="1044"/>
        <item m="1" x="669"/>
        <item m="1" x="1392"/>
        <item m="1" x="927"/>
        <item m="1" x="1598"/>
        <item m="1" x="1709"/>
        <item m="1" x="881"/>
        <item m="1" x="1150"/>
        <item m="1" x="236"/>
        <item m="1" x="427"/>
        <item m="1" x="571"/>
        <item m="1" x="1019"/>
        <item m="1" x="512"/>
        <item m="1" x="104"/>
        <item m="1" x="1524"/>
        <item m="1" x="1264"/>
        <item m="1" x="1087"/>
        <item m="1" x="1534"/>
        <item m="1" x="656"/>
        <item m="1" x="599"/>
        <item m="1" x="111"/>
        <item m="1" x="432"/>
        <item m="1" x="540"/>
        <item m="1" x="220"/>
        <item m="1" x="105"/>
        <item m="1" x="1180"/>
        <item m="1" x="1138"/>
        <item m="1" x="579"/>
        <item m="1" x="1963"/>
        <item m="1" x="385"/>
        <item m="1" x="606"/>
        <item m="1" x="1965"/>
        <item m="1" x="648"/>
        <item m="1" x="1680"/>
        <item m="1" x="812"/>
        <item m="1" x="1586"/>
        <item m="1" x="1793"/>
        <item m="1" x="246"/>
        <item m="1" x="708"/>
        <item m="1" x="146"/>
        <item m="1" x="688"/>
        <item m="1" x="61"/>
        <item m="1" x="1268"/>
        <item m="1" x="711"/>
        <item m="1" x="1239"/>
        <item m="1" x="343"/>
        <item m="1" x="420"/>
        <item m="1" x="1756"/>
        <item m="1" x="764"/>
        <item m="1" x="1645"/>
        <item m="1" x="758"/>
        <item m="1" x="1910"/>
        <item m="1" x="86"/>
        <item m="1" x="539"/>
        <item m="1" x="338"/>
        <item m="1" x="1951"/>
        <item m="1" x="1916"/>
        <item m="1" x="34"/>
        <item m="1" x="1885"/>
        <item m="1" x="206"/>
        <item m="1" x="693"/>
        <item m="1" x="1977"/>
        <item m="1" x="1634"/>
        <item m="1" x="1935"/>
        <item m="1" x="989"/>
        <item m="1" x="1751"/>
        <item m="1" x="1386"/>
        <item m="1" x="1907"/>
        <item m="1" x="1179"/>
        <item m="1" x="626"/>
        <item m="1" x="739"/>
        <item m="1" x="1772"/>
        <item m="1" x="1368"/>
        <item m="1" x="650"/>
        <item m="1" x="1523"/>
        <item m="1" x="1675"/>
        <item m="1" x="1270"/>
        <item m="1" x="741"/>
        <item m="1" x="115"/>
        <item m="1" x="1710"/>
        <item m="1" x="1731"/>
        <item m="1" x="184"/>
        <item m="1" x="308"/>
        <item m="1" x="1204"/>
        <item m="1" x="1620"/>
        <item m="1" x="1667"/>
        <item m="1" x="966"/>
        <item m="1" x="808"/>
        <item m="1" x="1522"/>
        <item m="1" x="1433"/>
        <item m="1" x="1269"/>
        <item m="1" x="112"/>
        <item m="1" x="1328"/>
        <item m="1" x="136"/>
        <item m="1" x="570"/>
        <item m="1" x="1589"/>
        <item m="1" x="1557"/>
        <item m="1" x="894"/>
        <item m="1" x="1394"/>
        <item m="1" x="310"/>
        <item m="1" x="915"/>
        <item m="1" x="1678"/>
        <item m="1" x="575"/>
        <item m="1" x="1786"/>
        <item m="1" x="474"/>
        <item m="1" x="1231"/>
        <item m="1" x="1550"/>
        <item m="1" x="288"/>
        <item m="1" x="28"/>
        <item m="1" x="1173"/>
        <item m="1" x="1463"/>
        <item m="1" x="1275"/>
        <item m="1" x="1288"/>
        <item m="1" x="1172"/>
        <item m="1" x="352"/>
        <item m="1" x="1686"/>
        <item m="1" x="1591"/>
        <item m="1" x="1632"/>
        <item m="1" x="1086"/>
        <item m="1" x="1695"/>
        <item m="1" x="400"/>
        <item m="1" x="1722"/>
        <item m="1" x="1356"/>
        <item m="1" x="127"/>
        <item m="1" x="879"/>
        <item m="1" x="1960"/>
        <item m="1" x="1133"/>
        <item m="1" x="328"/>
        <item m="1" x="759"/>
        <item m="1" x="47"/>
        <item m="1" x="1860"/>
        <item m="1" x="1714"/>
        <item m="1" x="1439"/>
        <item m="1" x="541"/>
        <item m="1" x="730"/>
        <item m="1" x="66"/>
        <item m="1" x="1143"/>
        <item m="1" x="1537"/>
        <item m="1" x="487"/>
        <item m="1" x="495"/>
        <item m="1" x="319"/>
        <item m="1" x="970"/>
        <item m="1" x="1290"/>
        <item m="1" x="1038"/>
        <item m="1" x="1533"/>
        <item m="1" x="814"/>
        <item m="1" x="36"/>
        <item m="1" x="1914"/>
        <item m="1" x="465"/>
        <item m="1" x="624"/>
        <item m="1" x="1732"/>
        <item m="1" x="1190"/>
        <item m="1" x="1095"/>
        <item m="1" x="836"/>
        <item m="1" x="912"/>
        <item m="1" x="447"/>
        <item m="1" x="1240"/>
        <item m="1" x="1891"/>
        <item m="1" x="780"/>
        <item m="1" x="660"/>
        <item m="1" x="485"/>
        <item m="1" x="1248"/>
        <item m="1" x="598"/>
        <item m="1" x="1254"/>
        <item m="1" x="913"/>
        <item m="1" x="587"/>
        <item m="1" x="234"/>
        <item m="1" x="1265"/>
        <item m="1" x="1181"/>
        <item m="1" x="1621"/>
        <item m="1" x="423"/>
        <item m="1" x="223"/>
        <item m="1" x="439"/>
        <item m="1" x="991"/>
        <item m="1" x="40"/>
        <item m="1" x="48"/>
        <item m="1" x="157"/>
        <item m="1" x="1889"/>
        <item m="1" x="124"/>
        <item m="1" x="670"/>
        <item m="1" x="707"/>
        <item m="1" x="588"/>
        <item m="1" x="1740"/>
        <item m="1" x="1452"/>
        <item m="1" x="942"/>
        <item m="1" x="199"/>
        <item m="1" x="320"/>
        <item m="1" x="1671"/>
        <item m="1" x="632"/>
        <item m="1" x="1169"/>
        <item m="1" x="663"/>
        <item m="1" x="683"/>
        <item m="1" x="1643"/>
        <item m="1" x="1831"/>
        <item m="1" x="884"/>
        <item m="1" x="552"/>
        <item m="1" x="1134"/>
        <item m="1" x="1012"/>
        <item m="1" x="823"/>
        <item m="1" x="652"/>
        <item m="1" x="1908"/>
        <item m="1" x="1305"/>
        <item m="1" x="298"/>
        <item m="1" x="1622"/>
        <item m="1" x="857"/>
        <item m="1" x="992"/>
        <item m="1" x="936"/>
        <item m="1" x="1887"/>
        <item m="1" x="1108"/>
        <item m="1" x="544"/>
        <item m="1" x="488"/>
        <item m="1" x="1408"/>
        <item m="1" x="455"/>
        <item m="1" x="710"/>
        <item m="1" x="1370"/>
        <item m="1" x="1791"/>
        <item m="1" x="744"/>
        <item m="1" x="947"/>
        <item m="1" x="51"/>
        <item m="1" x="1588"/>
        <item m="1" x="107"/>
        <item m="1" x="1308"/>
        <item m="1" x="163"/>
        <item m="1" x="1825"/>
        <item m="1" x="257"/>
        <item m="1" x="131"/>
        <item m="1" x="166"/>
        <item m="1" x="1435"/>
        <item m="1" x="1864"/>
        <item m="1" x="1148"/>
        <item m="1" x="1491"/>
        <item m="1" x="635"/>
        <item m="1" x="1470"/>
        <item m="1" x="1317"/>
        <item m="1" x="1416"/>
        <item m="1" x="625"/>
        <item m="1" x="641"/>
        <item m="1" x="470"/>
        <item m="1" x="776"/>
        <item m="1" x="85"/>
        <item m="1" x="472"/>
        <item m="1" x="1091"/>
        <item m="1" x="1325"/>
        <item m="1" x="76"/>
        <item m="1" x="1114"/>
        <item m="1" x="1861"/>
        <item m="1" x="996"/>
        <item m="1" x="458"/>
        <item m="1" x="1155"/>
        <item m="1" x="703"/>
        <item m="1" x="623"/>
        <item m="1" x="1158"/>
        <item m="1" x="1213"/>
        <item m="1" x="979"/>
        <item m="1" x="534"/>
        <item m="1" x="1334"/>
        <item m="1" x="522"/>
        <item m="1" x="261"/>
        <item m="1" x="1567"/>
        <item m="1" x="443"/>
        <item m="1" x="2"/>
        <item m="1" x="350"/>
        <item m="1" x="1031"/>
        <item m="1" x="1237"/>
        <item m="1" x="1313"/>
        <item m="1" x="1444"/>
        <item m="1" x="396"/>
        <item m="1" x="345"/>
        <item m="1" x="896"/>
        <item m="1" x="1662"/>
        <item m="1" x="907"/>
        <item m="1" x="842"/>
        <item m="1" x="1002"/>
        <item m="1" x="1723"/>
        <item m="1" x="285"/>
        <item m="1" x="1580"/>
        <item m="1" x="263"/>
        <item m="1" x="904"/>
        <item m="1" x="709"/>
        <item m="1" x="1542"/>
        <item m="1" x="70"/>
        <item m="1" x="1149"/>
        <item m="1" x="1395"/>
        <item m="1" x="1465"/>
        <item m="1" x="1610"/>
        <item m="1" x="233"/>
        <item m="1" x="831"/>
        <item m="1" x="185"/>
        <item m="1" x="921"/>
        <item m="1" x="359"/>
        <item m="1" x="186"/>
        <item m="1" x="356"/>
        <item m="1" x="843"/>
        <item m="1" x="706"/>
        <item m="1" x="613"/>
        <item m="1" x="782"/>
        <item m="1" x="1792"/>
        <item m="1" x="908"/>
        <item m="1" x="849"/>
        <item m="1" x="914"/>
        <item m="1" x="1699"/>
        <item m="1" x="1549"/>
        <item m="1" x="1775"/>
        <item m="1" x="1511"/>
        <item m="1" x="237"/>
        <item m="1" x="961"/>
        <item m="1" x="959"/>
        <item m="1" x="1547"/>
        <item m="1" x="600"/>
        <item m="1" x="870"/>
        <item m="1" x="1262"/>
        <item m="1" x="471"/>
        <item m="1" x="1424"/>
        <item m="1" x="1077"/>
        <item m="1" x="1218"/>
        <item m="1" x="1952"/>
        <item m="1" x="1877"/>
        <item m="1" x="278"/>
        <item m="1" x="1566"/>
        <item m="1" x="484"/>
        <item m="1" x="1484"/>
        <item m="1" x="248"/>
        <item m="1" x="1651"/>
        <item m="1" x="890"/>
        <item m="1" x="1455"/>
        <item m="1" x="1000"/>
        <item m="1" x="1597"/>
        <item m="1" x="684"/>
        <item m="1" x="335"/>
        <item m="1" x="902"/>
        <item m="1" x="390"/>
        <item m="1" x="1266"/>
        <item m="1" x="194"/>
        <item m="1" x="1604"/>
        <item m="1" x="844"/>
        <item m="1" x="832"/>
        <item m="1" x="1183"/>
        <item m="1" x="1339"/>
        <item m="1" x="1870"/>
        <item m="1" x="1209"/>
        <item m="1" x="944"/>
        <item m="1" x="1205"/>
        <item m="1" x="362"/>
        <item m="1" x="1478"/>
        <item m="1" x="1753"/>
        <item m="1" x="301"/>
        <item m="1" x="1788"/>
        <item m="1" x="762"/>
        <item m="1" x="554"/>
        <item m="1" x="1111"/>
        <item m="1" x="1705"/>
        <item m="1" x="1347"/>
        <item m="1" x="1336"/>
        <item m="1" x="1341"/>
        <item m="1" x="909"/>
        <item m="1" x="716"/>
        <item m="1" x="1803"/>
        <item m="1" x="368"/>
        <item m="1" x="1320"/>
        <item m="1" x="380"/>
        <item m="1" x="452"/>
        <item m="1" x="1052"/>
        <item m="1" x="445"/>
        <item m="1" x="1272"/>
        <item m="1" x="695"/>
        <item m="1" x="553"/>
        <item m="1" x="1894"/>
        <item m="1" x="729"/>
        <item m="1" x="1366"/>
        <item m="1" x="1663"/>
        <item m="1" x="1875"/>
        <item m="1" x="1582"/>
        <item m="1" x="1884"/>
        <item m="1" x="1703"/>
        <item m="1" x="719"/>
        <item m="1" x="3"/>
        <item m="1" x="1129"/>
        <item m="1" x="877"/>
        <item m="1" x="79"/>
        <item m="1" x="281"/>
        <item m="1" x="1467"/>
        <item m="1" x="578"/>
        <item m="1" x="869"/>
        <item m="1" x="1137"/>
        <item m="1" x="1106"/>
        <item m="1" x="1749"/>
        <item m="1" x="1653"/>
        <item m="1" x="1790"/>
        <item m="1" x="699"/>
        <item m="1" x="1928"/>
        <item m="1" x="1097"/>
        <item m="1" x="1402"/>
        <item m="1" x="1214"/>
        <item m="1" x="1326"/>
        <item m="1" x="1881"/>
        <item m="1" x="1176"/>
        <item m="1" x="473"/>
        <item m="1" x="434"/>
        <item m="1" x="1503"/>
        <item m="1" x="1477"/>
        <item m="1" x="78"/>
        <item m="1" x="250"/>
        <item m="1" x="1460"/>
        <item m="1" x="893"/>
        <item m="1" x="496"/>
        <item m="1" x="365"/>
        <item m="1" x="1866"/>
        <item m="1" x="728"/>
        <item m="1" x="856"/>
        <item m="1" x="1331"/>
        <item m="1" x="657"/>
        <item m="1" x="1936"/>
        <item m="1" x="609"/>
        <item m="1" x="1561"/>
        <item m="1" x="1411"/>
        <item m="1" x="1374"/>
        <item m="1" x="1195"/>
        <item m="1" x="1752"/>
        <item m="1" x="1911"/>
        <item m="1" x="1735"/>
        <item m="1" x="55"/>
        <item m="1" x="1076"/>
        <item m="1" x="620"/>
        <item m="1" x="98"/>
        <item m="1" x="1823"/>
        <item m="1" x="1421"/>
        <item m="1" x="327"/>
        <item m="1" x="687"/>
        <item m="1" x="1177"/>
        <item m="1" x="9"/>
        <item m="1" x="646"/>
        <item m="1" x="200"/>
        <item m="1" x="1608"/>
        <item m="1" x="4"/>
        <item m="1" x="100"/>
        <item m="1" x="1276"/>
        <item m="1" x="1090"/>
        <item m="1" x="1852"/>
        <item m="1" x="369"/>
        <item m="1" x="603"/>
        <item m="1" x="1459"/>
        <item m="1" x="1479"/>
        <item m="1" x="1078"/>
        <item m="1" x="1064"/>
        <item m="1" x="851"/>
        <item m="1" x="1626"/>
        <item m="1" x="435"/>
        <item m="1" x="510"/>
        <item m="1" x="824"/>
        <item m="1" x="1318"/>
        <item m="1" x="355"/>
        <item m="1" x="1636"/>
        <item m="1" x="1766"/>
        <item m="1" x="993"/>
        <item m="1" x="456"/>
        <item m="1" x="974"/>
        <item m="1" x="1782"/>
        <item m="1" x="713"/>
        <item m="1" x="895"/>
        <item m="1" x="898"/>
        <item m="1" x="1324"/>
        <item m="1" x="1833"/>
        <item m="1" x="1953"/>
        <item m="1" x="918"/>
        <item m="1" x="1400"/>
        <item m="1" x="925"/>
        <item m="1" x="294"/>
        <item m="1" x="1187"/>
        <item m="1" x="519"/>
        <item m="1" x="800"/>
        <item m="1" x="671"/>
        <item m="1" x="1457"/>
        <item m="1" x="1233"/>
        <item m="1" x="5"/>
        <item m="1" x="11"/>
        <item m="1" x="549"/>
        <item m="1" x="1802"/>
        <item m="1" x="1818"/>
        <item m="1" x="1564"/>
        <item m="1" x="50"/>
        <item m="1" x="946"/>
        <item m="1" x="154"/>
        <item m="1" x="94"/>
        <item m="1" x="290"/>
        <item m="1" x="1796"/>
        <item m="1" x="931"/>
        <item m="1" x="1017"/>
        <item m="1" x="557"/>
        <item m="1" x="426"/>
        <item m="1" x="339"/>
        <item m="1" x="231"/>
        <item m="1" x="402"/>
        <item m="1" x="1075"/>
        <item m="1" x="1301"/>
        <item m="1" x="1627"/>
        <item m="1" x="789"/>
        <item m="1" x="1778"/>
        <item m="1" x="137"/>
        <item m="1" x="1855"/>
        <item m="1" x="1978"/>
        <item m="1" x="1229"/>
        <item m="1" x="1955"/>
        <item m="1" x="865"/>
        <item m="1" x="1291"/>
        <item m="1" x="196"/>
        <item m="1" x="41"/>
        <item m="1" x="830"/>
        <item m="1" x="1482"/>
        <item m="1" x="679"/>
        <item m="1" x="1212"/>
        <item m="1" x="1104"/>
        <item m="1" x="494"/>
        <item m="1" x="1630"/>
        <item m="1" x="1776"/>
        <item m="1" x="201"/>
        <item m="1" x="337"/>
        <item m="1" x="256"/>
        <item m="1" x="1071"/>
        <item m="1" x="1647"/>
        <item m="1" x="637"/>
        <item m="1" x="1186"/>
        <item m="1" x="805"/>
        <item m="1" x="616"/>
        <item m="1" x="1243"/>
        <item m="1" x="1048"/>
        <item m="1" x="252"/>
        <item m="1" x="965"/>
        <item m="1" x="1664"/>
        <item m="1" x="270"/>
        <item m="1" x="1476"/>
        <item m="1" x="1049"/>
        <item m="1" x="1509"/>
        <item m="1" x="803"/>
        <item m="1" x="1920"/>
        <item m="1" x="755"/>
        <item m="1" x="1730"/>
        <item m="1" x="182"/>
        <item m="1" x="431"/>
        <item m="1" x="1474"/>
        <item m="1" x="1918"/>
        <item m="1" x="1512"/>
        <item m="1" x="945"/>
        <item m="1" x="535"/>
        <item m="1" x="1222"/>
        <item m="1" x="1721"/>
        <item m="1" x="1548"/>
        <item m="1" x="864"/>
        <item m="1" x="1340"/>
        <item m="1" x="1915"/>
        <item m="1" x="1762"/>
        <item m="1" x="997"/>
        <item m="1" x="1295"/>
        <item m="1" x="1115"/>
        <item m="1" x="229"/>
        <item m="1" x="18"/>
        <item m="1" x="371"/>
        <item m="1" x="672"/>
        <item m="1" x="491"/>
        <item m="1" x="108"/>
        <item m="1" x="850"/>
        <item m="1" x="1748"/>
        <item m="1" x="1495"/>
        <item m="1" x="260"/>
        <item m="1" x="482"/>
        <item m="1" x="511"/>
        <item m="1" x="1154"/>
        <item m="1" x="1131"/>
        <item m="1" x="880"/>
        <item m="1" x="614"/>
        <item m="1" x="453"/>
        <item m="1" x="190"/>
        <item m="1" x="242"/>
        <item m="1" x="1379"/>
        <item m="1" x="1120"/>
        <item m="1" x="110"/>
        <item m="1" x="1738"/>
        <item m="1" x="518"/>
        <item m="1" x="207"/>
        <item m="1" x="507"/>
        <item m="1" x="1979"/>
        <item m="1" x="1032"/>
        <item m="1" x="373"/>
        <item m="1" x="244"/>
        <item m="1" x="1892"/>
        <item m="1" x="1338"/>
        <item m="1" x="414"/>
        <item m="1" x="1815"/>
        <item m="1" x="1521"/>
        <item m="1" x="386"/>
        <item m="1" x="1300"/>
        <item m="1" x="757"/>
        <item m="1" x="304"/>
        <item m="1" x="1959"/>
        <item m="1" x="1618"/>
        <item m="1" x="1383"/>
        <item m="1" x="790"/>
        <item m="1" x="1922"/>
        <item m="1" x="189"/>
        <item m="1" x="1414"/>
        <item m="1" x="1282"/>
        <item m="1" x="268"/>
        <item m="1" x="953"/>
        <item m="1" x="1623"/>
        <item m="1" x="96"/>
        <item m="1" x="35"/>
        <item m="1" x="1650"/>
        <item m="1" x="149"/>
        <item m="1" x="1850"/>
        <item m="1" x="1185"/>
        <item m="1" x="1079"/>
        <item m="1" x="181"/>
        <item m="1" x="29"/>
        <item m="1" x="205"/>
        <item m="1" x="1223"/>
        <item m="1" x="1688"/>
        <item m="1" x="1517"/>
        <item m="1" x="887"/>
        <item m="1" x="1056"/>
        <item m="1" x="1648"/>
        <item m="1" x="867"/>
        <item m="1" x="1151"/>
        <item m="1" x="80"/>
        <item m="1" x="1890"/>
        <item m="1" x="1042"/>
        <item m="1" x="160"/>
        <item m="1" x="1755"/>
        <item m="1" x="1980"/>
        <item m="1" x="1593"/>
        <item m="1" x="1528"/>
        <item m="1" x="54"/>
        <item m="1" x="696"/>
        <item m="1" x="593"/>
        <item m="1" x="1575"/>
        <item m="1" x="1578"/>
        <item m="1" x="1779"/>
        <item m="1" x="16"/>
        <item m="1" x="1687"/>
        <item m="1" x="897"/>
        <item m="1" x="442"/>
        <item m="1" x="1635"/>
        <item m="1" x="811"/>
        <item m="1" x="572"/>
        <item m="1" x="948"/>
        <item m="1" x="1614"/>
        <item m="1" x="92"/>
        <item m="1" x="1527"/>
        <item m="1" x="883"/>
        <item m="1" x="1743"/>
        <item m="1" x="1083"/>
        <item m="1" x="1271"/>
        <item m="1" x="1357"/>
        <item m="1" x="90"/>
        <item m="1" x="990"/>
        <item m="1" x="1596"/>
        <item m="1" x="89"/>
        <item m="1" x="1594"/>
        <item m="1" x="1897"/>
        <item m="1" x="1615"/>
        <item m="1" x="829"/>
        <item m="1" x="1789"/>
        <item m="1" x="1445"/>
        <item m="1" x="1773"/>
        <item m="1" x="568"/>
        <item m="1" x="1956"/>
        <item m="1" x="1829"/>
        <item m="1" x="645"/>
        <item m="1" x="162"/>
        <item m="1" x="1286"/>
        <item m="1" x="123"/>
        <item m="1" x="825"/>
        <item m="1" x="1837"/>
        <item m="1" x="1520"/>
        <item m="1" x="121"/>
        <item m="1" x="1930"/>
        <item m="1" x="582"/>
        <item m="1" x="302"/>
        <item m="1" x="311"/>
        <item m="1" x="861"/>
        <item m="1" x="1499"/>
        <item m="1" x="516"/>
        <item m="1" x="476"/>
        <item m="1" x="638"/>
        <item m="1" x="1335"/>
        <item m="1" x="344"/>
        <item m="1" x="1854"/>
        <item m="1" x="1055"/>
        <item m="1" x="1144"/>
        <item m="1" x="1391"/>
        <item m="1" x="1799"/>
        <item m="1" x="1436"/>
        <item m="1" x="1679"/>
        <item m="1" x="1674"/>
        <item m="1" x="1646"/>
        <item m="1" x="1819"/>
        <item m="1" x="1535"/>
        <item m="1" x="772"/>
        <item m="1" x="717"/>
        <item m="1" x="151"/>
        <item m="1" x="1901"/>
        <item m="1" x="1007"/>
        <item m="1" x="816"/>
        <item m="1" x="590"/>
        <item m="1" x="404"/>
        <item m="1" x="527"/>
        <item m="1" x="336"/>
        <item m="1" x="1869"/>
        <item m="1" x="1900"/>
        <item m="1" x="1757"/>
        <item m="1" x="1592"/>
        <item m="1" x="605"/>
        <item m="1" x="419"/>
        <item m="1" x="87"/>
        <item m="1" x="1443"/>
        <item m="1" x="230"/>
        <item m="1" x="630"/>
        <item m="1" x="15"/>
        <item m="1" x="828"/>
        <item m="1" x="573"/>
        <item m="1" x="1040"/>
        <item m="1" x="801"/>
        <item m="1" x="303"/>
        <item m="1" x="126"/>
        <item m="1" x="321"/>
        <item m="1" x="12"/>
        <item m="1" x="763"/>
        <item m="1" x="1009"/>
        <item m="1" x="1781"/>
        <item m="1" x="1258"/>
        <item m="1" x="1375"/>
        <item m="1" x="1644"/>
        <item m="1" x="65"/>
        <item m="1" x="968"/>
        <item m="1" x="503"/>
        <item m="1" x="631"/>
        <item m="1" x="171"/>
        <item m="1" x="596"/>
        <item m="1" x="1103"/>
        <item m="1" x="848"/>
        <item m="1" x="1440"/>
        <item m="1" x="1203"/>
        <item m="1" x="1702"/>
        <item m="1" x="425"/>
        <item m="1" x="1969"/>
        <item m="1" x="622"/>
        <item m="1" x="239"/>
        <item m="1" x="1161"/>
        <item m="1" x="845"/>
        <item m="1" x="247"/>
        <item m="1" x="176"/>
        <item m="1" x="1584"/>
        <item m="1" x="1797"/>
        <item m="1" x="1063"/>
        <item m="1" x="797"/>
        <item m="1" x="210"/>
        <item m="1" x="559"/>
        <item m="1" x="1316"/>
        <item m="1" x="1306"/>
        <item m="1" x="1088"/>
        <item m="1" x="1314"/>
        <item m="1" x="998"/>
        <item m="1" x="378"/>
        <item m="1" x="1616"/>
        <item m="1" x="786"/>
        <item m="1" x="180"/>
        <item m="1" x="532"/>
        <item m="1" x="272"/>
        <item m="1" x="1425"/>
        <item m="1" x="1473"/>
        <item m="1" x="129"/>
        <item m="1" x="167"/>
        <item m="1" x="1845"/>
        <item m="1" x="1538"/>
        <item m="1" x="839"/>
        <item m="1" x="449"/>
        <item m="1" x="773"/>
        <item m="1" x="1940"/>
        <item m="1" x="1018"/>
        <item m="1" x="480"/>
        <item m="1" x="467"/>
        <item m="1" x="1986"/>
        <item m="1" x="929"/>
        <item m="1" x="1807"/>
        <item m="1" x="269"/>
        <item m="1" x="1412"/>
        <item m="1" x="415"/>
        <item m="1" x="1033"/>
        <item m="1" x="581"/>
        <item m="1" x="1073"/>
        <item m="1" x="1655"/>
        <item m="1" x="469"/>
        <item m="1" x="1146"/>
        <item m="1" x="152"/>
        <item m="1" x="1902"/>
        <item m="1" x="1783"/>
        <item m="1" x="168"/>
        <item m="1" x="1603"/>
        <item m="1" x="1768"/>
        <item m="1" x="99"/>
        <item m="1" x="1769"/>
        <item m="1" x="273"/>
        <item m="1" x="500"/>
        <item m="1" x="978"/>
        <item m="1" x="1362"/>
        <item m="1" x="45"/>
        <item m="1" x="132"/>
        <item m="1" x="1450"/>
        <item m="1" x="1053"/>
        <item m="1" x="1981"/>
        <item m="1" x="161"/>
        <item m="1" x="1689"/>
        <item m="1" x="775"/>
        <item m="1" x="1893"/>
        <item m="1" x="353"/>
        <item m="1" x="1822"/>
        <item m="1" x="981"/>
        <item m="1" x="1382"/>
        <item m="1" x="765"/>
        <item m="1" x="1354"/>
        <item m="1" x="1260"/>
        <item m="1" x="1631"/>
        <item m="1" x="982"/>
        <item m="1" x="1273"/>
        <item m="1" x="1540"/>
        <item m="1" x="1934"/>
        <item m="1" x="1516"/>
        <item m="1" x="1127"/>
        <item m="1" x="676"/>
        <item m="1" x="1919"/>
        <item m="1" x="1761"/>
        <item m="1" x="1061"/>
        <item m="1" x="1182"/>
        <item m="1" x="1707"/>
        <item m="1" x="854"/>
        <item m="1" x="564"/>
        <item m="1" x="324"/>
        <item m="1" x="366"/>
        <item m="1" x="147"/>
        <item m="1" x="1398"/>
        <item m="1" x="1607"/>
        <item m="1" x="305"/>
        <item m="1" x="17"/>
        <item m="1" x="666"/>
        <item m="1" x="560"/>
        <item m="1" x="175"/>
        <item m="1" x="1552"/>
        <item m="1" x="1184"/>
        <item m="1" x="1562"/>
        <item m="1" x="1100"/>
        <item m="1" x="1581"/>
        <item m="1" x="1047"/>
        <item m="1" x="1856"/>
        <item m="1" x="1475"/>
        <item m="1" x="1758"/>
        <item m="1" x="1125"/>
        <item m="1" x="1851"/>
        <item m="1" x="1966"/>
        <item m="1" x="1777"/>
        <item m="1" x="254"/>
        <item m="1" x="731"/>
        <item m="1" x="806"/>
        <item m="1" x="550"/>
        <item m="1" x="770"/>
        <item m="1" x="1506"/>
        <item m="1" x="1372"/>
        <item m="1" x="97"/>
        <item m="1" x="1453"/>
        <item m="1" x="1251"/>
        <item m="1" x="798"/>
        <item m="1" x="208"/>
        <item m="1" x="886"/>
        <item m="1" x="44"/>
        <item m="1" x="1942"/>
        <item m="1" x="364"/>
        <item m="1" x="969"/>
        <item m="1" x="841"/>
        <item m="1" x="1867"/>
        <item m="1" x="1415"/>
        <item m="1" x="499"/>
        <item m="1" x="429"/>
        <item m="1" x="374"/>
        <item m="1" x="421"/>
        <item m="1" x="530"/>
        <item m="1" x="1810"/>
        <item m="1" x="753"/>
        <item m="1" x="733"/>
        <item m="1" x="617"/>
        <item m="1" x="428"/>
        <item m="1" x="1096"/>
        <item m="1" x="103"/>
        <item m="1" x="53"/>
        <item m="1" x="923"/>
        <item m="1" x="1358"/>
        <item m="1" x="1736"/>
        <item m="1" x="1353"/>
        <item m="1" x="282"/>
        <item m="1" x="489"/>
        <item m="1" x="1285"/>
        <item m="1" x="1322"/>
        <item m="1" x="745"/>
        <item m="1" x="1349"/>
        <item m="1" x="866"/>
        <item m="1" x="767"/>
        <item m="1" x="1821"/>
        <item m="1" x="1109"/>
        <item m="1" x="619"/>
        <item m="1" x="299"/>
        <item m="1" x="1846"/>
        <item m="1" x="1925"/>
        <item m="1" x="81"/>
        <item m="1" x="1021"/>
        <item m="1" x="1197"/>
        <item m="1" x="1428"/>
        <item m="1" x="142"/>
        <item m="1" x="1798"/>
        <item m="1" x="440"/>
        <item m="1" x="64"/>
        <item m="1" x="133"/>
        <item m="1" x="297"/>
        <item m="1" x="393"/>
        <item m="1" x="1013"/>
        <item m="1" x="746"/>
        <item m="1" x="300"/>
        <item m="1" x="878"/>
        <item m="1" x="1225"/>
        <item m="1" x="1387"/>
        <item m="1" x="1513"/>
        <item m="1" x="1434"/>
        <item m="1" x="1249"/>
        <item m="1" x="1069"/>
        <item m="1" x="891"/>
        <item m="1" x="712"/>
        <item m="1" x="536"/>
        <item m="1" x="348"/>
        <item m="1" x="1600"/>
        <item m="1" x="1480"/>
        <item m="1" x="1024"/>
        <item m="1" x="265"/>
        <item m="1" x="1381"/>
        <item m="1" x="1323"/>
        <item m="1" x="1764"/>
        <item m="1" x="1037"/>
        <item m="1" x="1668"/>
        <item m="1" x="562"/>
        <item m="1" x="905"/>
        <item m="1" x="960"/>
        <item m="1" x="1741"/>
        <item m="1" x="874"/>
        <item m="1" x="916"/>
        <item m="1" x="821"/>
        <item m="1" x="771"/>
        <item m="1" x="412"/>
        <item m="1" x="1001"/>
        <item m="1" x="1246"/>
        <item m="1" x="1208"/>
        <item m="1" x="1716"/>
        <item m="1" x="743"/>
        <item m="1" x="398"/>
        <item m="1" x="1923"/>
        <item m="1" x="1640"/>
        <item m="1" x="748"/>
        <item m="1" x="221"/>
        <item m="1" x="601"/>
        <item m="1" x="391"/>
        <item m="1" x="139"/>
        <item m="1" x="1926"/>
        <item m="1" x="1174"/>
        <item m="1" x="1832"/>
        <item m="1" x="1464"/>
        <item m="1" x="1156"/>
        <item m="1" x="1734"/>
        <item m="1" x="1917"/>
        <item m="1" x="1228"/>
        <item m="1" x="266"/>
        <item m="1" x="502"/>
        <item m="1" x="1490"/>
        <item m="1" x="405"/>
        <item m="1" x="934"/>
        <item m="1" x="417"/>
        <item m="1" x="1865"/>
        <item m="1" x="13"/>
        <item m="1" x="475"/>
        <item m="1" x="1660"/>
        <item m="1" x="433"/>
        <item m="1" x="1583"/>
        <item m="1" x="804"/>
        <item m="1" x="1971"/>
        <item m="1" x="1698"/>
        <item m="1" x="868"/>
        <item m="1" x="218"/>
        <item m="1" x="1348"/>
        <item m="1" x="1206"/>
        <item m="1" x="1559"/>
        <item m="1" x="134"/>
        <item m="1" x="1943"/>
        <item m="1" x="71"/>
        <item m="1" x="1008"/>
        <item m="1" x="972"/>
        <item m="1" x="361"/>
        <item m="1" x="293"/>
        <item m="1" x="1938"/>
        <item m="1" x="1364"/>
        <item m="1" x="258"/>
        <item m="1" x="1676"/>
        <item m="1" x="566"/>
        <item m="1" x="634"/>
        <item m="1" x="664"/>
        <item m="1" x="547"/>
        <item m="1" x="1497"/>
        <item m="1" x="1132"/>
        <item m="1" x="1015"/>
        <item m="1" x="1005"/>
        <item m="1" x="143"/>
        <item m="1" x="1303"/>
        <item m="1" x="1849"/>
        <item m="1" x="1112"/>
        <item m="1" x="1809"/>
        <item m="1" x="760"/>
        <item m="1" x="1057"/>
        <item m="1" x="1554"/>
        <item m="1" x="1568"/>
        <item m="1" x="102"/>
        <item m="1" x="889"/>
        <item m="1" x="1814"/>
        <item m="1" x="1657"/>
        <item m="1" x="1128"/>
        <item m="1" x="403"/>
        <item m="1" x="1488"/>
        <item m="1" x="1297"/>
        <item m="1" x="113"/>
        <item m="1" x="580"/>
        <item m="1" x="1220"/>
        <item m="1" x="1729"/>
        <item m="1" x="169"/>
        <item m="1" x="734"/>
        <item m="1" x="1848"/>
        <item m="1" x="1437"/>
        <item m="1" x="1446"/>
        <item m="1" x="1110"/>
        <item m="1" x="1847"/>
        <item m="1" x="987"/>
        <item m="1" x="1454"/>
        <item m="1" x="1292"/>
        <item m="1" x="106"/>
        <item m="1" x="159"/>
        <item m="1" x="307"/>
        <item m="1" x="1396"/>
        <item m="1" x="863"/>
        <item m="1" x="589"/>
        <item m="1" x="1367"/>
        <item m="1" x="911"/>
        <item m="1" x="1277"/>
        <item m="1" x="1830"/>
        <item m="1" x="1746"/>
        <item m="1" x="1962"/>
        <item m="1" x="93"/>
        <item m="1" x="523"/>
        <item m="1" x="1346"/>
        <item m="1" x="82"/>
        <item m="1" x="392"/>
        <item m="1" x="1188"/>
        <item m="1" x="788"/>
        <item m="1" x="686"/>
        <item m="1" x="1828"/>
        <item m="1" x="284"/>
        <item m="1" x="259"/>
        <item m="1" x="975"/>
        <item m="1" x="602"/>
        <item m="1" x="406"/>
        <item m="1" x="604"/>
        <item m="1" x="1573"/>
        <item m="1" x="1774"/>
        <item m="1" x="1493"/>
        <item m="1" x="1279"/>
        <item m="1" x="387"/>
        <item m="1" x="1426"/>
        <item m="1" x="74"/>
        <item m="1" x="164"/>
        <item m="1" x="659"/>
        <item m="1" x="1924"/>
        <item m="1" x="1486"/>
        <item m="1" x="1202"/>
        <item m="1" x="835"/>
        <item m="1" x="1035"/>
        <item m="1" x="735"/>
        <item m="1" x="326"/>
        <item m="1" x="508"/>
        <item m="1" x="1159"/>
        <item m="1" x="42"/>
        <item m="1" x="569"/>
        <item m="1" x="563"/>
        <item m="1" x="1404"/>
        <item m="1" x="1123"/>
        <item m="1" x="939"/>
        <item m="1" x="900"/>
        <item m="1" x="1427"/>
        <item m="1" x="225"/>
        <item m="1" x="389"/>
        <item m="1" x="1462"/>
        <item m="1" x="1093"/>
        <item m="1" x="1661"/>
        <item m="1" x="621"/>
        <item m="1" x="1430"/>
        <item m="1" x="1958"/>
        <item m="1" x="1342"/>
        <item m="1" x="747"/>
        <item m="1" x="1165"/>
        <item m="1" x="1742"/>
        <item m="1" x="1136"/>
        <item m="1" x="295"/>
        <item m="1" x="1141"/>
        <item m="1" x="198"/>
        <item m="1" x="1274"/>
        <item m="1" x="463"/>
        <item m="1" x="1363"/>
        <item m="1" x="977"/>
        <item m="1" x="537"/>
        <item m="1" x="1806"/>
        <item m="1" x="197"/>
        <item m="1" x="1321"/>
        <item m="1" x="611"/>
        <item m="1" x="901"/>
        <item m="1" x="462"/>
        <item m="1" x="555"/>
        <item m="1" x="1804"/>
        <item m="1" x="937"/>
        <item m="1" x="1912"/>
        <item m="1" x="153"/>
        <item m="1" x="1888"/>
        <item m="1" x="1350"/>
        <item m="1" x="1696"/>
        <item m="1" x="1191"/>
        <item m="1" x="1469"/>
        <item m="1" x="875"/>
        <item m="1" x="917"/>
        <item m="1" x="1649"/>
        <item m="1" x="1025"/>
        <item m="1" x="88"/>
        <item m="1" x="1060"/>
        <item m="1" x="1613"/>
        <item m="1" x="1448"/>
        <item m="1" x="255"/>
        <item m="1" x="1245"/>
        <item m="1" x="1816"/>
        <item m="1" x="751"/>
        <item m="1" x="1461"/>
        <item m="1" x="1556"/>
        <item m="1" x="1872"/>
        <item m="1" x="1066"/>
        <item m="1" x="1820"/>
        <item m="1" x="538"/>
        <item m="1" x="1483"/>
        <item m="1" x="1871"/>
        <item m="1" x="1654"/>
        <item m="1" x="1599"/>
        <item m="1" x="1431"/>
        <item m="1" x="885"/>
        <item m="1" x="1014"/>
        <item m="1" x="1332"/>
        <item m="1" x="1551"/>
        <item m="1" x="872"/>
        <item m="1" x="1072"/>
        <item m="1" x="548"/>
        <item m="1" x="490"/>
        <item m="1" x="1642"/>
        <item m="1" x="1255"/>
        <item m="1" x="1713"/>
        <item m="1" x="1909"/>
        <item m="1" x="1964"/>
        <item m="1" x="647"/>
        <item m="1" x="1570"/>
        <item m="1" x="1145"/>
        <item m="1" x="586"/>
        <item m="1" x="1931"/>
        <item m="1" x="486"/>
        <item m="1" x="1471"/>
        <item m="1" x="689"/>
        <item m="1" x="1619"/>
        <item m="1" x="222"/>
        <item m="1" x="1659"/>
        <item m="1" x="195"/>
        <item m="1" x="963"/>
        <item m="1" x="1422"/>
        <item m="1" x="276"/>
        <item m="1" x="1903"/>
        <item m="1" x="654"/>
        <item m="1" x="612"/>
        <item m="1" x="1284"/>
        <item m="1" x="1765"/>
        <item m="1" x="1536"/>
        <item m="1" x="674"/>
        <item m="1" x="1059"/>
        <item m="1" x="331"/>
        <item m="1" x="754"/>
        <item m="1" x="1403"/>
        <item m="1" x="217"/>
        <item m="1" x="56"/>
        <item m="1" x="1946"/>
        <item m="1" x="325"/>
        <item m="1" x="67"/>
        <item m="1" x="6"/>
        <item m="1" x="358"/>
        <item m="1" x="315"/>
        <item m="1" x="1652"/>
        <item m="1" x="723"/>
        <item m="1" x="394"/>
        <item m="1" x="117"/>
        <item m="1" x="424"/>
        <item m="1" x="551"/>
        <item m="1" x="793"/>
        <item m="1" x="1545"/>
        <item m="1" x="629"/>
        <item m="1" x="1020"/>
        <item m="1" x="787"/>
        <item m="1" x="1004"/>
        <item m="1" x="1505"/>
        <item m="1" x="837"/>
        <item m="1" x="838"/>
        <item m="1" x="514"/>
        <item m="1" x="718"/>
        <item m="1" x="264"/>
        <item m="1" x="357"/>
        <item m="1" x="1665"/>
        <item m="1" x="192"/>
        <item m="1" x="444"/>
        <item m="1" x="1168"/>
        <item m="1" x="8"/>
        <item m="1" x="1098"/>
        <item m="1" x="651"/>
        <item m="1" x="240"/>
        <item m="1" x="1744"/>
        <item m="1" x="1351"/>
        <item m="1" x="24"/>
        <item m="1" x="245"/>
        <item m="1" x="1843"/>
        <item m="1" x="1553"/>
        <item m="1" x="1385"/>
        <item m="1" x="1539"/>
        <item m="1" x="892"/>
        <item m="1" x="714"/>
        <item m="1" x="1226"/>
        <item m="1" x="1842"/>
        <item m="1" x="267"/>
        <item m="1" x="984"/>
        <item m="1" x="1299"/>
        <item m="1" x="1124"/>
        <item m="1" x="943"/>
        <item m="1" x="752"/>
        <item m="1" x="23"/>
        <item m="1" x="1684"/>
        <item m="1" x="1147"/>
        <item m="1" x="779"/>
        <item m="1" x="938"/>
        <item m="1" x="749"/>
        <item m="1" x="1904"/>
        <item m="1" x="1759"/>
        <item m="1" x="1601"/>
        <item m="1" x="84"/>
        <item m="1" x="1898"/>
        <item m="1" x="1590"/>
        <item m="1" x="1873"/>
        <item m="1" x="1728"/>
        <item m="1" x="438"/>
        <item m="1" x="1787"/>
        <item m="1" x="1754"/>
        <item m="1" x="1638"/>
        <item m="1" x="531"/>
        <item m="1" x="774"/>
        <item m="1" x="1726"/>
        <item m="1" x="1432"/>
        <item m="1" x="819"/>
        <item m="1" x="1968"/>
        <item m="1" x="1393"/>
        <item m="1" x="1023"/>
        <item m="1" x="1210"/>
        <item m="1" x="1217"/>
        <item m="1" x="1747"/>
        <item m="1" x="1211"/>
        <item m="1" x="750"/>
        <item m="1" x="720"/>
        <item m="1" x="930"/>
        <item m="1" x="314"/>
        <item m="1" x="422"/>
        <item m="1" x="464"/>
        <item m="1" x="1880"/>
        <item m="1" x="1345"/>
        <item m="1" x="454"/>
        <item m="1" x="1006"/>
        <item m="1" x="381"/>
        <item m="1" x="777"/>
        <item m="1" x="1074"/>
        <item m="1" x="1062"/>
        <item m="1" x="1913"/>
        <item m="1" x="1569"/>
        <item m="1" x="52"/>
        <item m="1" x="704"/>
        <item m="1" x="1034"/>
        <item m="1" x="701"/>
        <item m="1" x="1451"/>
        <item m="1" x="1102"/>
        <item m="1" x="460"/>
        <item m="1" x="437"/>
        <item m="1" x="363"/>
        <item m="1" x="1838"/>
        <item m="1" x="1105"/>
        <item m="1" x="1975"/>
        <item m="1" x="1369"/>
        <item m="1" x="72"/>
        <item m="1" x="446"/>
        <item m="1" x="1287"/>
        <item m="1" x="138"/>
        <item m="1" x="1844"/>
        <item m="1" x="1419"/>
        <item m="1" x="203"/>
        <item m="1" x="802"/>
        <item m="1" x="188"/>
        <item m="1" x="677"/>
        <item m="1" x="1378"/>
        <item m="1" x="528"/>
        <item m="1" x="1685"/>
        <item m="1" x="1166"/>
        <item m="1" x="1330"/>
        <item m="1" x="401"/>
        <item m="1" x="209"/>
        <item m="1" x="1027"/>
        <item m="1" x="241"/>
        <item m="1" x="128"/>
        <item m="1" x="1882"/>
        <item m="1" x="1294"/>
        <item m="1" x="1113"/>
        <item m="1" x="292"/>
        <item m="1" x="1763"/>
        <item m="1" x="1377"/>
        <item m="1" x="565"/>
        <item m="1" x="639"/>
        <item m="1" x="906"/>
        <item m="1" x="999"/>
        <item m="1" x="576"/>
        <item m="1" x="1068"/>
        <item m="1" x="395"/>
        <item m="1" x="526"/>
        <item m="1" x="262"/>
        <item m="1" x="215"/>
        <item m="1" x="691"/>
        <item m="1" x="738"/>
        <item m="1" x="75"/>
        <item m="1" x="1771"/>
        <item m="1" x="214"/>
        <item m="1" x="1724"/>
        <item m="1" x="1355"/>
        <item m="1" x="607"/>
        <item m="1" x="1574"/>
        <item m="1" x="1178"/>
        <item m="1" x="114"/>
        <item m="1" x="1719"/>
        <item m="1" x="253"/>
        <item m="1" x="1985"/>
        <item m="1" x="436"/>
        <item m="1" x="726"/>
        <item m="1" x="1252"/>
        <item m="1" x="441"/>
        <item m="1" x="1302"/>
        <item m="1" x="950"/>
        <item m="1" x="1278"/>
        <item m="1" x="1235"/>
        <item m="1" x="561"/>
        <item m="1" x="697"/>
        <item m="1" x="1199"/>
        <item m="1" x="377"/>
        <item m="1" x="1373"/>
        <item m="1" x="567"/>
        <item m="1" x="1215"/>
        <item m="1" x="1514"/>
        <item m="1" x="853"/>
        <item m="1" x="1785"/>
        <item m="1" x="1711"/>
        <item m="1" x="653"/>
        <item m="1" x="910"/>
        <item m="1" x="349"/>
        <item m="1" x="1641"/>
        <item m="1" x="287"/>
        <item m="1" x="1118"/>
        <item m="1" x="583"/>
        <item m="1" x="742"/>
        <item m="1" x="83"/>
        <item m="1" x="633"/>
        <item m="1" x="1084"/>
        <item m="1" x="1259"/>
        <item m="1" x="183"/>
        <item m="1" x="1289"/>
        <item m="1" x="1841"/>
        <item m="1" x="1267"/>
        <item m="1" x="1827"/>
        <item m="1" x="1658"/>
        <item m="1" x="967"/>
        <item m="1" x="1718"/>
        <item m="1" x="834"/>
        <item m="1" x="985"/>
        <item m="1" x="1310"/>
        <item m="1" x="1609"/>
        <item m="1" x="1319"/>
        <item m="1" x="172"/>
        <item m="1" x="63"/>
        <item m="1" x="1388"/>
        <item m="1" x="333"/>
        <item m="1" x="1406"/>
        <item m="1" x="140"/>
        <item m="1" x="150"/>
        <item m="1" x="1309"/>
        <item m="1" x="27"/>
        <item m="1" x="271"/>
        <item m="1" x="873"/>
        <item m="1" x="479"/>
        <item m="1" x="933"/>
        <item m="1" x="1280"/>
        <item m="1" x="1085"/>
        <item m="1" x="903"/>
        <item m="1" x="922"/>
        <item m="1" x="1666"/>
        <item m="1" x="1767"/>
        <item m="1" x="673"/>
        <item m="1" x="1130"/>
        <item m="1" x="382"/>
        <item m="1" x="628"/>
        <item m="1" x="958"/>
        <item m="1" x="1526"/>
        <item m="1" x="756"/>
        <item m="1" x="1359"/>
        <item m="1" x="698"/>
        <item m="1" x="956"/>
        <item m="1" x="1929"/>
        <item m="1" x="1974"/>
        <item m="1" x="450"/>
        <item m="1" x="815"/>
        <item m="1" x="1899"/>
        <item m="1" x="1065"/>
        <item m="1" x="1565"/>
        <item m="1" x="312"/>
        <item m="1" x="498"/>
        <item m="1" x="58"/>
        <item m="1" x="457"/>
        <item m="1" x="313"/>
        <item m="1" x="1510"/>
        <item m="1" x="1067"/>
        <item m="1" x="1500"/>
        <item m="1" x="413"/>
        <item m="1" x="736"/>
        <item m="1" x="1987"/>
        <item m="1" x="1099"/>
        <item m="1" x="846"/>
        <item m="1" x="504"/>
        <item m="1" x="1508"/>
        <item m="1" x="962"/>
        <item m="1" x="318"/>
        <item m="1" x="1725"/>
        <item m="1" x="91"/>
        <item m="1" x="690"/>
        <item m="1" x="283"/>
        <item m="1" x="1164"/>
        <item m="1" x="30"/>
        <item m="1" x="334"/>
        <item m="1" x="1011"/>
        <item m="1" x="876"/>
        <item x="0"/>
        <item m="1" x="493"/>
        <item m="1" x="1405"/>
        <item m="1" x="1441"/>
        <item m="1" x="506"/>
        <item m="1" x="1352"/>
        <item m="1" x="1438"/>
        <item m="1" x="799"/>
        <item m="1" x="1961"/>
        <item m="1" x="367"/>
        <item m="1" x="1708"/>
        <item m="1" x="525"/>
        <item m="1" x="1039"/>
        <item m="1" x="1116"/>
        <item m="1" x="1050"/>
        <item m="1" x="1944"/>
        <item m="1" x="408"/>
        <item m="1" x="407"/>
        <item m="1" x="33"/>
        <item m="1" x="1760"/>
        <item m="1" x="949"/>
        <item m="1" x="1230"/>
        <item m="1" x="1371"/>
        <item m="1" x="1304"/>
        <item m="1" x="509"/>
        <item m="1" x="1119"/>
        <item m="1" x="1376"/>
        <item m="1" x="1617"/>
        <item m="1" x="1750"/>
        <item m="1" x="920"/>
        <item m="1" x="1587"/>
        <item m="1" x="1409"/>
        <item m="1" x="1043"/>
        <item m="1" x="1481"/>
        <item m="1" x="1494"/>
        <item m="1" x="32"/>
        <item m="1" x="1365"/>
        <item m="1" x="109"/>
        <item m="1" x="1030"/>
        <item m="1" x="1281"/>
        <item m="1" x="243"/>
        <item m="1" x="1515"/>
        <item m="1" x="618"/>
        <item m="1" x="1241"/>
        <item m="1" x="1824"/>
        <item m="1" x="1152"/>
        <item m="1" x="341"/>
        <item m="1" x="1423"/>
        <item m="1" x="73"/>
        <item m="1" x="592"/>
        <item m="1" x="1250"/>
        <item m="1" x="125"/>
        <item m="1" x="1466"/>
        <item m="1" x="1801"/>
        <item m="1" x="1691"/>
        <item m="1" x="665"/>
        <item m="1" x="954"/>
        <item m="1" x="1390"/>
        <item m="1" x="418"/>
        <item m="1" x="1242"/>
        <item m="1" x="855"/>
        <item m="1" x="144"/>
        <item m="1" x="399"/>
        <item m="1" x="1519"/>
        <item m="1" x="329"/>
        <item m="1" x="675"/>
        <item m="1" x="1447"/>
        <item m="1" x="1625"/>
        <item m="1" x="983"/>
        <item m="1" x="1194"/>
        <item m="1" x="101"/>
        <item m="1" x="1167"/>
        <item m="1" x="986"/>
        <item m="1" x="1984"/>
        <item m="1" x="226"/>
        <item m="1" x="543"/>
        <item m="1" x="1945"/>
        <item m="1" x="1081"/>
        <item m="1" x="822"/>
        <item m="1" x="135"/>
        <item m="1" x="761"/>
        <item m="1" x="794"/>
        <item m="1" x="1232"/>
        <item m="1" x="1343"/>
        <item m="1" x="1496"/>
        <item m="1" x="1813"/>
        <item m="1" x="1051"/>
        <item m="1" x="935"/>
        <item m="1" x="1717"/>
        <item m="1" x="585"/>
        <item m="1" x="409"/>
        <item m="1" x="558"/>
        <item m="1" x="520"/>
        <item m="1" x="1327"/>
        <item m="1" x="833"/>
        <item m="1" x="1344"/>
        <item m="1" x="995"/>
        <item m="1" x="1525"/>
        <item m="1" x="478"/>
        <item m="1" x="1227"/>
        <item m="1" x="1502"/>
        <item m="1" x="1595"/>
        <item m="1" x="1606"/>
        <item m="1" x="1633"/>
        <item m="1" x="1624"/>
        <item m="1" x="370"/>
        <item m="1" x="692"/>
        <item m="1" x="384"/>
        <item m="1" x="1957"/>
        <item m="1" x="1126"/>
        <item m="1" x="141"/>
        <item m="1" x="1029"/>
        <item m="1" x="1612"/>
        <item m="1" x="1224"/>
        <item m="1" x="430"/>
        <item m="1" x="1193"/>
        <item m="1" x="1947"/>
        <item m="1" x="784"/>
        <item m="1" x="1529"/>
        <item m="1" x="1256"/>
        <item m="1" x="649"/>
        <item m="1" x="459"/>
        <item m="1" x="1863"/>
        <item m="1" x="1418"/>
        <item m="1" x="330"/>
        <item m="1" x="279"/>
        <item m="1" x="1192"/>
        <item m="1" x="1045"/>
        <item m="1" x="43"/>
        <item m="1" x="1954"/>
        <item m="1" x="1380"/>
        <item m="1" x="1982"/>
        <item m="1" x="1543"/>
        <item m="1" x="1563"/>
        <item m="1" x="899"/>
        <item m="1" x="397"/>
        <item m="1" x="1834"/>
        <item m="1" x="1835"/>
        <item m="1" x="1976"/>
        <item m="1" x="178"/>
        <item m="1" x="31"/>
        <item m="1" x="354"/>
        <item m="1" x="1485"/>
        <item m="1" x="1429"/>
        <item m="1" x="1171"/>
        <item m="1" x="1010"/>
        <item m="1" x="919"/>
        <item m="1" x="1058"/>
        <item m="1" x="347"/>
        <item m="1" x="820"/>
        <item m="1" x="1361"/>
        <item m="1" x="1003"/>
        <item m="1" x="1257"/>
        <item m="1" x="191"/>
        <item m="1" x="1706"/>
        <item m="1" x="216"/>
        <item m="1" x="1715"/>
        <item m="1" x="1812"/>
        <item m="1" x="827"/>
        <item m="1" x="1117"/>
        <item m="1" x="668"/>
        <item m="1" x="19"/>
        <item m="1" x="721"/>
        <item m="1" x="1973"/>
        <item m="1" x="1605"/>
        <item m="1" x="1420"/>
        <item m="1" x="37"/>
        <item m="1" x="1139"/>
        <item m="1" x="1501"/>
        <item m="1" x="1656"/>
        <item m="1" x="1456"/>
        <item m="1" x="847"/>
        <item m="1" x="360"/>
        <item m="1" x="1026"/>
        <item m="1" x="705"/>
        <item m="1" x="655"/>
        <item m="1" x="286"/>
        <item m="1" x="680"/>
        <item m="1" x="1970"/>
        <item m="1" x="546"/>
        <item m="1" x="1692"/>
        <item m="1" x="1070"/>
        <item m="1" x="1107"/>
        <item m="1" x="1858"/>
        <item m="1" x="1530"/>
        <item m="1" x="1142"/>
        <item m="1" x="644"/>
        <item m="1" x="685"/>
        <item m="1" x="296"/>
        <item m="1" x="388"/>
        <item m="1" x="62"/>
        <item m="1" x="926"/>
        <item m="1" x="1296"/>
        <item m="1" x="1560"/>
        <item m="1" x="1693"/>
        <item m="1" x="924"/>
        <item m="1" x="1770"/>
        <item m="1" x="145"/>
        <item m="1" x="1683"/>
        <item m="1" x="610"/>
        <item m="1" x="187"/>
        <item m="1" x="1950"/>
        <item m="1" x="722"/>
        <item m="1" x="1216"/>
        <item m="1" x="155"/>
        <item m="1" x="376"/>
        <item m="1" x="25"/>
        <item m="1" x="1780"/>
        <item m="1" x="1263"/>
        <item m="1" x="1315"/>
        <item m="1" x="1857"/>
        <item m="1" x="204"/>
        <item m="1" x="59"/>
        <item m="1" x="1932"/>
        <item m="1" x="661"/>
        <item m="1" x="1487"/>
        <item m="1" x="1682"/>
        <item m="1" x="1337"/>
        <item m="1" x="1207"/>
        <item m="1" x="1795"/>
        <item m="1" x="1234"/>
        <item m="1" x="1733"/>
        <item m="1" x="1080"/>
        <item m="1" x="1082"/>
        <item m="1" x="852"/>
        <item m="1" x="1677"/>
        <item m="1" x="1518"/>
        <item m="1" x="545"/>
        <item m="1" x="1585"/>
        <item m="1" x="49"/>
        <item m="1" x="860"/>
        <item m="1" x="1198"/>
        <item m="1" x="505"/>
        <item m="1" x="346"/>
        <item m="1" x="1836"/>
        <item m="1" x="1805"/>
        <item m="1" x="1140"/>
        <item m="1" x="309"/>
        <item m="1" x="871"/>
        <item m="1" x="212"/>
        <item m="1" x="77"/>
        <item m="1" x="251"/>
        <item m="1" x="667"/>
        <item m="1" x="375"/>
        <item m="1" x="1800"/>
        <item m="1" x="497"/>
        <item m="1" x="955"/>
        <item m="1" x="1389"/>
        <item m="1" x="483"/>
        <item m="1" x="988"/>
        <item m="1" x="807"/>
        <item m="1" x="1571"/>
        <item m="1" x="642"/>
        <item m="1" x="1407"/>
        <item m="1" x="952"/>
        <item m="1" x="732"/>
        <item m="1" x="219"/>
        <item m="1" x="342"/>
        <item m="1" x="227"/>
        <item m="1" x="1253"/>
        <item m="1" x="1498"/>
        <item m="1" x="533"/>
        <item m="1" x="584"/>
        <item m="1" x="228"/>
        <item m="1" x="1413"/>
        <item m="1" x="529"/>
        <item m="1" x="372"/>
        <item m="1" x="1507"/>
        <item m="1" x="882"/>
        <item m="1" x="1200"/>
        <item m="1" x="1022"/>
        <item m="1" x="492"/>
        <item m="1" x="1261"/>
        <item m="1" x="1694"/>
        <item m="1" x="643"/>
        <item m="1" x="156"/>
        <item m="1" x="118"/>
        <item m="1" x="888"/>
        <item m="1" x="1628"/>
        <item m="1" x="68"/>
        <item m="1" x="858"/>
        <item m="1" x="1054"/>
        <item m="1" x="766"/>
        <item m="1" x="1558"/>
        <item m="1" x="1862"/>
        <item m="1" x="702"/>
        <item m="1" x="26"/>
        <item m="1" x="700"/>
        <item m="1" x="1876"/>
        <item m="1" x="46"/>
        <item m="1" x="1817"/>
        <item m="1" x="980"/>
        <item m="1" x="1672"/>
        <item m="1" x="1541"/>
        <item m="1" x="1937"/>
        <item m="1" x="1016"/>
        <item m="1" x="1927"/>
        <item m="1" x="595"/>
        <item m="1" x="768"/>
        <item m="1" x="597"/>
        <item m="1" x="1089"/>
        <item m="1" x="177"/>
        <item m="1" x="22"/>
        <item m="1" x="1839"/>
        <item m="1" x="322"/>
        <item m="1" x="1669"/>
        <item m="1" x="1121"/>
        <item m="1" x="20"/>
        <item m="1" x="976"/>
        <item m="1" x="1092"/>
        <item m="1" x="130"/>
        <item m="1" x="451"/>
        <item m="1" x="1784"/>
        <item m="1" x="1397"/>
        <item m="1" x="1611"/>
        <item m="1" x="1948"/>
        <item m="1" x="1410"/>
        <item m="1" x="1531"/>
        <item m="1" x="1983"/>
        <item m="1" x="477"/>
        <item m="1" x="1458"/>
        <item m="1" x="116"/>
        <item m="1" x="859"/>
        <item m="1" x="1906"/>
        <item m="1" x="1175"/>
        <item m="1" x="95"/>
        <item m="1" x="810"/>
        <item m="1" x="383"/>
        <item m="1" x="1697"/>
        <item m="1" x="973"/>
        <item m="1" x="1468"/>
        <item m="1" x="715"/>
        <item m="1" x="202"/>
        <item m="1" x="524"/>
        <item m="1" x="1826"/>
        <item m="1" x="662"/>
        <item m="1" x="351"/>
        <item m="1" x="1577"/>
        <item m="1" x="1101"/>
        <item m="1" x="1681"/>
        <item m="1" x="1895"/>
        <item m="1" x="1219"/>
        <item m="1" x="1122"/>
        <item m="1" x="1333"/>
        <item m="1" x="591"/>
        <item m="1" x="682"/>
        <item m="1" x="238"/>
        <item m="1" x="1859"/>
        <item m="1" x="1879"/>
        <item m="1" x="1153"/>
        <item m="1" x="513"/>
        <item m="1" x="379"/>
        <item m="1" x="1298"/>
        <item m="1" x="69"/>
        <item m="1" x="1544"/>
        <item m="1" x="594"/>
        <item m="1" x="1046"/>
        <item m="1" x="10"/>
        <item m="1" x="521"/>
        <item m="1" x="170"/>
        <item m="1" x="1745"/>
        <item m="1" x="224"/>
        <item m="1" x="740"/>
        <item m="1" x="1360"/>
        <item m="1" x="173"/>
        <item m="1" x="1905"/>
        <item m="1" x="317"/>
        <item m="1" x="727"/>
        <item m="1" x="501"/>
        <item m="1" x="148"/>
        <item m="1" x="323"/>
        <item m="1" x="1417"/>
        <item m="1" x="38"/>
        <item m="1" x="1874"/>
        <item m="1" x="1442"/>
        <item m="1" x="466"/>
        <item m="1" x="1808"/>
        <item m="1" x="1720"/>
        <item m="1" x="636"/>
        <item m="1" x="179"/>
        <item m="1" x="1201"/>
        <item m="1" x="7"/>
        <item t="default"/>
      </items>
      <autoSortScope>
        <pivotArea dataOnly="0" outline="0" fieldPosition="0">
          <references count="1">
            <reference field="4294967294" count="1" selected="0">
              <x v="5"/>
            </reference>
          </references>
        </pivotArea>
      </autoSortScope>
    </pivotField>
    <pivotField compact="0" outline="0" showAll="0"/>
    <pivotField compact="0" outline="0" showAll="0"/>
    <pivotField compact="0" outline="0" showAll="0" sortType="descending" defaultSubtotal="0">
      <items count="1502">
        <item m="1" x="1204"/>
        <item m="1" x="206"/>
        <item m="1" x="1388"/>
        <item m="1" x="782"/>
        <item m="1" x="1013"/>
        <item m="1" x="893"/>
        <item m="1" x="1461"/>
        <item m="1" x="649"/>
        <item m="1" x="771"/>
        <item m="1" x="334"/>
        <item m="1" x="1106"/>
        <item m="1" x="1166"/>
        <item m="1" x="838"/>
        <item m="1" x="1468"/>
        <item m="1" x="1263"/>
        <item m="1" x="1220"/>
        <item m="1" x="1097"/>
        <item m="1" x="820"/>
        <item m="1" x="165"/>
        <item m="1" x="533"/>
        <item m="1" x="1184"/>
        <item m="1" x="1195"/>
        <item m="1" x="995"/>
        <item m="1" x="493"/>
        <item m="1" x="1368"/>
        <item m="1" x="1176"/>
        <item m="1" x="136"/>
        <item m="1" x="1258"/>
        <item m="1" x="644"/>
        <item m="1" x="642"/>
        <item m="1" x="1260"/>
        <item m="1" x="604"/>
        <item m="1" x="34"/>
        <item m="1" x="681"/>
        <item m="1" x="372"/>
        <item m="1" x="972"/>
        <item m="1" x="1498"/>
        <item m="1" x="412"/>
        <item m="1" x="1178"/>
        <item m="1" x="1278"/>
        <item m="1" x="1391"/>
        <item m="1" x="1246"/>
        <item m="1" x="490"/>
        <item m="1" x="519"/>
        <item m="1" x="520"/>
        <item m="1" x="986"/>
        <item m="1" x="319"/>
        <item m="1" x="1244"/>
        <item m="1" x="697"/>
        <item m="1" x="763"/>
        <item m="1" x="1076"/>
        <item m="1" x="733"/>
        <item m="1" x="457"/>
        <item m="1" x="1070"/>
        <item m="1" x="132"/>
        <item m="1" x="626"/>
        <item m="1" x="1348"/>
        <item m="1" x="167"/>
        <item m="1" x="204"/>
        <item m="1" x="716"/>
        <item m="1" x="1145"/>
        <item m="1" x="516"/>
        <item m="1" x="1190"/>
        <item m="1" x="769"/>
        <item m="1" x="822"/>
        <item m="1" x="1214"/>
        <item m="1" x="984"/>
        <item m="1" x="1215"/>
        <item m="1" x="683"/>
        <item m="1" x="401"/>
        <item m="1" x="9"/>
        <item m="1" x="754"/>
        <item m="1" x="1268"/>
        <item m="1" x="355"/>
        <item m="1" x="841"/>
        <item m="1" x="975"/>
        <item m="1" x="5"/>
        <item m="1" x="896"/>
        <item m="1" x="262"/>
        <item m="1" x="685"/>
        <item m="1" x="263"/>
        <item m="1" x="482"/>
        <item m="1" x="1234"/>
        <item m="1" x="552"/>
        <item m="1" x="463"/>
        <item m="1" x="1483"/>
        <item m="1" x="499"/>
        <item m="1" x="821"/>
        <item m="1" x="1179"/>
        <item m="1" x="574"/>
        <item m="1" x="210"/>
        <item m="1" x="213"/>
        <item m="1" x="432"/>
        <item m="1" x="1124"/>
        <item m="1" x="1017"/>
        <item m="1" x="720"/>
        <item m="1" x="1024"/>
        <item m="1" x="1334"/>
        <item m="1" x="800"/>
        <item m="1" x="1256"/>
        <item m="1" x="385"/>
        <item m="1" x="370"/>
        <item m="1" x="1344"/>
        <item m="1" x="96"/>
        <item m="1" x="767"/>
        <item m="1" x="261"/>
        <item m="1" x="731"/>
        <item m="1" x="541"/>
        <item m="1" x="566"/>
        <item m="1" x="166"/>
        <item m="1" x="830"/>
        <item m="1" x="1401"/>
        <item m="1" x="827"/>
        <item m="1" x="395"/>
        <item m="1" x="65"/>
        <item m="1" x="1450"/>
        <item m="1" x="460"/>
        <item m="1" x="91"/>
        <item m="1" x="740"/>
        <item m="1" x="542"/>
        <item m="1" x="215"/>
        <item m="1" x="2"/>
        <item m="1" x="63"/>
        <item m="1" x="1053"/>
        <item m="1" x="1054"/>
        <item m="1" x="1055"/>
        <item m="1" x="70"/>
        <item m="1" x="1057"/>
        <item m="1" x="885"/>
        <item m="1" x="1058"/>
        <item m="1" x="1059"/>
        <item m="1" x="1060"/>
        <item m="1" x="1308"/>
        <item m="1" x="655"/>
        <item m="1" x="360"/>
        <item m="1" x="1063"/>
        <item m="1" x="1064"/>
        <item m="1" x="417"/>
        <item m="1" x="770"/>
        <item m="1" x="948"/>
        <item m="1" x="629"/>
        <item m="1" x="1001"/>
        <item m="1" x="1193"/>
        <item m="1" x="578"/>
        <item m="1" x="290"/>
        <item m="1" x="62"/>
        <item m="1" x="877"/>
        <item m="1" x="25"/>
        <item m="1" x="1125"/>
        <item m="1" x="899"/>
        <item m="1" x="1426"/>
        <item m="1" x="1448"/>
        <item m="1" x="700"/>
        <item m="1" x="466"/>
        <item m="1" x="627"/>
        <item m="1" x="489"/>
        <item m="1" x="1363"/>
        <item m="1" x="601"/>
        <item m="1" x="76"/>
        <item m="1" x="162"/>
        <item m="1" x="660"/>
        <item m="1" x="915"/>
        <item m="1" x="1101"/>
        <item m="1" x="111"/>
        <item m="1" x="423"/>
        <item m="1" x="751"/>
        <item m="1" x="1439"/>
        <item m="1" x="1113"/>
        <item m="1" x="616"/>
        <item m="1" x="973"/>
        <item m="1" x="786"/>
        <item m="1" x="156"/>
        <item m="1" x="1122"/>
        <item m="1" x="140"/>
        <item m="1" x="1238"/>
        <item m="1" x="776"/>
        <item m="1" x="1266"/>
        <item m="1" x="1379"/>
        <item m="1" x="84"/>
        <item m="1" x="753"/>
        <item m="1" x="1095"/>
        <item m="1" x="58"/>
        <item m="1" x="208"/>
        <item m="1" x="1031"/>
        <item m="1" x="1032"/>
        <item m="1" x="1262"/>
        <item m="1" x="855"/>
        <item m="1" x="1272"/>
        <item m="1" x="1415"/>
        <item m="1" x="1102"/>
        <item m="1" x="587"/>
        <item m="1" x="327"/>
        <item m="1" x="50"/>
        <item m="1" x="1323"/>
        <item m="1" x="411"/>
        <item m="1" x="1081"/>
        <item m="1" x="628"/>
        <item m="1" x="368"/>
        <item m="1" x="636"/>
        <item m="1" x="758"/>
        <item m="1" x="1435"/>
        <item m="1" x="708"/>
        <item m="1" x="890"/>
        <item m="1" x="301"/>
        <item m="1" x="1047"/>
        <item m="1" x="429"/>
        <item m="1" x="1010"/>
        <item m="1" x="451"/>
        <item m="1" x="1428"/>
        <item m="1" x="894"/>
        <item m="1" x="282"/>
        <item m="1" x="895"/>
        <item m="1" x="1015"/>
        <item m="1" x="22"/>
        <item m="1" x="31"/>
        <item m="1" x="1296"/>
        <item m="1" x="706"/>
        <item m="1" x="920"/>
        <item m="1" x="886"/>
        <item m="1" x="18"/>
        <item m="1" x="87"/>
        <item m="1" x="153"/>
        <item m="1" x="440"/>
        <item m="1" x="356"/>
        <item m="1" x="1004"/>
        <item m="1" x="1371"/>
        <item m="1" x="487"/>
        <item m="1" x="862"/>
        <item m="1" x="749"/>
        <item m="1" x="906"/>
        <item m="1" x="477"/>
        <item m="1" x="575"/>
        <item m="1" x="298"/>
        <item m="1" x="93"/>
        <item m="1" x="328"/>
        <item m="1" x="227"/>
        <item m="1" x="560"/>
        <item m="1" x="4"/>
        <item m="1" x="118"/>
        <item m="1" x="108"/>
        <item m="1" x="461"/>
        <item m="1" x="51"/>
        <item m="1" x="367"/>
        <item m="1" x="591"/>
        <item m="1" x="538"/>
        <item m="1" x="1340"/>
        <item m="1" x="968"/>
        <item m="1" x="1175"/>
        <item m="1" x="104"/>
        <item m="1" x="205"/>
        <item m="1" x="1030"/>
        <item m="1" x="950"/>
        <item m="1" x="1228"/>
        <item m="1" x="764"/>
        <item m="1" x="122"/>
        <item m="1" x="1002"/>
        <item m="1" x="351"/>
        <item m="1" x="288"/>
        <item m="1" x="1169"/>
        <item m="1" x="806"/>
        <item m="1" x="414"/>
        <item m="1" x="1254"/>
        <item m="1" x="858"/>
        <item m="1" x="1499"/>
        <item m="1" x="980"/>
        <item m="1" x="1066"/>
        <item m="1" x="1444"/>
        <item m="1" x="1079"/>
        <item m="1" x="580"/>
        <item m="1" x="399"/>
        <item m="1" x="462"/>
        <item m="1" x="107"/>
        <item m="1" x="979"/>
        <item m="1" x="815"/>
        <item m="1" x="448"/>
        <item m="1" x="33"/>
        <item m="1" x="1491"/>
        <item m="1" x="392"/>
        <item m="1" x="505"/>
        <item m="1" x="239"/>
        <item m="1" x="53"/>
        <item m="1" x="1162"/>
        <item m="1" x="1114"/>
        <item m="1" x="1400"/>
        <item m="1" x="413"/>
        <item m="1" x="1194"/>
        <item m="1" x="957"/>
        <item m="1" x="35"/>
        <item m="1" x="285"/>
        <item m="1" x="606"/>
        <item m="1" x="240"/>
        <item m="1" x="1283"/>
        <item m="1" x="1335"/>
        <item m="1" x="1402"/>
        <item m="1" x="512"/>
        <item m="1" x="1488"/>
        <item m="1" x="788"/>
        <item m="1" x="1380"/>
        <item m="1" x="1375"/>
        <item m="1" x="49"/>
        <item m="1" x="1153"/>
        <item m="1" x="760"/>
        <item m="1" x="1421"/>
        <item m="1" x="960"/>
        <item m="1" x="909"/>
        <item m="1" x="658"/>
        <item m="1" x="255"/>
        <item m="1" x="1105"/>
        <item m="1" x="1429"/>
        <item m="1" x="524"/>
        <item m="1" x="590"/>
        <item m="1" x="794"/>
        <item m="1" x="540"/>
        <item m="1" x="472"/>
        <item m="1" x="425"/>
        <item m="1" x="1029"/>
        <item m="1" x="270"/>
        <item m="1" x="543"/>
        <item m="1" x="36"/>
        <item m="1" x="244"/>
        <item m="1" x="276"/>
        <item m="1" x="1495"/>
        <item m="1" x="1442"/>
        <item m="1" x="937"/>
        <item m="1" x="1409"/>
        <item m="1" x="611"/>
        <item m="1" x="966"/>
        <item m="1" x="1288"/>
        <item m="1" x="867"/>
        <item m="1" x="599"/>
        <item m="1" x="585"/>
        <item m="1" x="594"/>
        <item m="1" x="509"/>
        <item m="1" x="1419"/>
        <item m="1" x="1313"/>
        <item m="1" x="283"/>
        <item m="1" x="665"/>
        <item m="1" x="1384"/>
        <item m="1" x="259"/>
        <item m="1" x="892"/>
        <item m="1" x="1038"/>
        <item m="1" x="1452"/>
        <item m="1" x="1467"/>
        <item m="1" x="623"/>
        <item m="1" x="245"/>
        <item m="1" x="1096"/>
        <item m="1" x="1126"/>
        <item m="1" x="1337"/>
        <item m="1" x="393"/>
        <item m="1" x="1137"/>
        <item m="1" x="1470"/>
        <item m="1" x="801"/>
        <item m="1" x="1446"/>
        <item m="1" x="365"/>
        <item m="1" x="464"/>
        <item m="1" x="72"/>
        <item m="1" x="687"/>
        <item m="1" x="352"/>
        <item m="1" x="56"/>
        <item m="1" x="916"/>
        <item m="1" x="254"/>
        <item m="1" x="654"/>
        <item m="1" x="474"/>
        <item m="1" x="428"/>
        <item m="1" x="1482"/>
        <item m="1" x="884"/>
        <item m="1" x="1291"/>
        <item m="1" x="789"/>
        <item m="1" x="829"/>
        <item m="1" x="101"/>
        <item m="1" x="60"/>
        <item m="1" x="1165"/>
        <item m="1" x="790"/>
        <item m="1" x="207"/>
        <item m="1" x="231"/>
        <item m="1" x="675"/>
        <item m="1" x="501"/>
        <item m="1" x="1236"/>
        <item m="1" x="357"/>
        <item m="1" x="1084"/>
        <item m="1" x="793"/>
        <item m="1" x="1187"/>
        <item m="1" x="442"/>
        <item m="1" x="774"/>
        <item m="1" x="485"/>
        <item m="1" x="335"/>
        <item m="1" x="891"/>
        <item m="1" x="924"/>
        <item m="1" x="64"/>
        <item m="1" x="872"/>
        <item m="1" x="267"/>
        <item m="1" x="1048"/>
        <item m="1" x="386"/>
        <item m="1" x="1200"/>
        <item m="1" x="415"/>
        <item m="1" x="1170"/>
        <item m="1" x="532"/>
        <item m="1" x="734"/>
        <item m="1" x="1133"/>
        <item m="1" x="23"/>
        <item m="1" x="220"/>
        <item m="1" x="1500"/>
        <item m="1" x="272"/>
        <item m="1" x="234"/>
        <item m="1" x="1353"/>
        <item m="1" x="168"/>
        <item m="1" x="80"/>
        <item m="1" x="978"/>
        <item m="1" x="1227"/>
        <item m="1" x="981"/>
        <item m="1" x="799"/>
        <item m="1" x="1111"/>
        <item m="1" x="439"/>
        <item m="1" x="258"/>
        <item m="1" x="993"/>
        <item m="1" x="59"/>
        <item m="1" x="495"/>
        <item m="1" x="908"/>
        <item m="1" x="1006"/>
        <item m="1" x="1489"/>
        <item m="1" x="856"/>
        <item m="1" x="1350"/>
        <item m="1" x="369"/>
        <item m="1" x="813"/>
        <item m="1" x="787"/>
        <item m="1" x="98"/>
        <item m="1" x="559"/>
        <item m="1" x="1302"/>
        <item m="1" x="1249"/>
        <item m="1" x="952"/>
        <item m="1" x="396"/>
        <item m="1" x="198"/>
        <item m="1" x="330"/>
        <item m="1" x="1485"/>
        <item m="1" x="632"/>
        <item m="1" x="759"/>
        <item m="1" x="607"/>
        <item m="1" x="1290"/>
        <item m="1" x="295"/>
        <item m="1" x="325"/>
        <item m="1" x="217"/>
        <item m="1" x="1276"/>
        <item m="1" x="1427"/>
        <item m="1" x="522"/>
        <item m="1" x="528"/>
        <item m="1" x="1099"/>
        <item m="1" x="1459"/>
        <item m="1" x="251"/>
        <item m="1" x="1336"/>
        <item m="1" x="333"/>
        <item m="1" x="1071"/>
        <item m="1" x="1074"/>
        <item m="1" x="646"/>
        <item m="1" x="1481"/>
        <item m="1" x="823"/>
        <item m="1" x="1034"/>
        <item m="1" x="545"/>
        <item m="1" x="949"/>
        <item m="1" x="438"/>
        <item m="1" x="1476"/>
        <item m="1" x="747"/>
        <item m="1" x="963"/>
        <item m="1" x="550"/>
        <item m="1" x="648"/>
        <item m="1" x="338"/>
        <item m="1" x="1149"/>
        <item m="1" x="889"/>
        <item m="1" x="666"/>
        <item m="1" x="605"/>
        <item m="1" x="1155"/>
        <item m="1" x="1341"/>
        <item m="1" x="1130"/>
        <item m="1" x="480"/>
        <item m="1" x="686"/>
        <item m="1" x="185"/>
        <item m="1" x="190"/>
        <item m="1" x="69"/>
        <item m="1" x="278"/>
        <item m="1" x="1078"/>
        <item m="1" x="309"/>
        <item m="1" x="943"/>
        <item m="1" x="55"/>
        <item m="1" x="342"/>
        <item m="1" x="1000"/>
        <item m="1" x="695"/>
        <item m="1" x="807"/>
        <item m="1" x="635"/>
        <item m="1" x="873"/>
        <item m="1" x="228"/>
        <item m="1" x="1293"/>
        <item m="1" x="502"/>
        <item m="1" x="11"/>
        <item m="1" x="135"/>
        <item m="1" x="1457"/>
        <item m="1" x="955"/>
        <item m="1" x="657"/>
        <item m="1" x="917"/>
        <item m="1" x="1418"/>
        <item m="1" x="249"/>
        <item m="1" x="1007"/>
        <item m="1" x="1369"/>
        <item m="1" x="1373"/>
        <item m="1" x="967"/>
        <item m="1" x="223"/>
        <item m="1" x="1248"/>
        <item m="1" x="316"/>
        <item m="1" x="1411"/>
        <item m="1" x="661"/>
        <item m="1" x="744"/>
        <item m="1" x="745"/>
        <item m="1" x="142"/>
        <item m="1" x="420"/>
        <item m="1" x="1403"/>
        <item m="1" x="527"/>
        <item m="1" x="7"/>
        <item m="1" x="653"/>
        <item m="1" x="1460"/>
        <item m="1" x="1261"/>
        <item m="1" x="1072"/>
        <item m="1" x="1330"/>
        <item m="1" x="46"/>
        <item m="1" x="1027"/>
        <item m="1" x="887"/>
        <item m="1" x="1294"/>
        <item m="1" x="1464"/>
        <item m="1" x="1094"/>
        <item m="1" x="869"/>
        <item m="1" x="1148"/>
        <item m="1" x="1075"/>
        <item m="1" x="89"/>
        <item m="1" x="562"/>
        <item m="1" x="115"/>
        <item m="1" x="310"/>
        <item m="1" x="219"/>
        <item m="1" x="193"/>
        <item m="1" x="1327"/>
        <item m="1" x="1050"/>
        <item m="1" x="221"/>
        <item m="1" x="942"/>
        <item m="1" x="934"/>
        <item m="1" x="479"/>
        <item m="1" x="565"/>
        <item m="1" x="366"/>
        <item m="1" x="1309"/>
        <item m="1" x="1203"/>
        <item m="1" x="946"/>
        <item m="1" x="998"/>
        <item m="1" x="945"/>
        <item m="1" x="1322"/>
        <item m="1" x="182"/>
        <item m="1" x="359"/>
        <item m="1" x="1042"/>
        <item m="1" x="1359"/>
        <item m="1" x="1131"/>
        <item m="1" x="1167"/>
        <item m="1" x="306"/>
        <item m="1" x="1197"/>
        <item m="1" x="962"/>
        <item m="1" x="659"/>
        <item m="1" x="8"/>
        <item m="1" x="308"/>
        <item m="1" x="1477"/>
        <item m="1" x="40"/>
        <item m="1" x="363"/>
        <item m="1" x="1478"/>
        <item m="1" x="181"/>
        <item m="1" x="582"/>
        <item m="1" x="37"/>
        <item m="1" x="517"/>
        <item m="1" x="1281"/>
        <item m="1" x="778"/>
        <item m="1" x="515"/>
        <item m="1" x="85"/>
        <item m="1" x="1298"/>
        <item m="1" x="508"/>
        <item m="1" x="1028"/>
        <item m="1" x="235"/>
        <item m="1" x="297"/>
        <item m="1" x="339"/>
        <item m="1" x="374"/>
        <item m="1" x="286"/>
        <item m="1" x="1390"/>
        <item m="1" x="863"/>
        <item m="1" x="640"/>
        <item m="1" x="1250"/>
        <item m="1" x="1361"/>
        <item m="1" x="379"/>
        <item m="1" x="1269"/>
        <item m="1" x="81"/>
        <item m="1" x="224"/>
        <item m="1" x="921"/>
        <item m="1" x="484"/>
        <item m="1" x="109"/>
        <item m="1" x="242"/>
        <item m="1" x="67"/>
        <item m="1" x="882"/>
        <item m="1" x="809"/>
        <item m="1" x="313"/>
        <item m="1" x="398"/>
        <item m="1" x="174"/>
        <item m="1" x="1453"/>
        <item m="1" x="592"/>
        <item m="1" x="539"/>
        <item m="1" x="66"/>
        <item m="1" x="1139"/>
        <item m="1" x="1465"/>
        <item m="1" x="1307"/>
        <item m="1" x="897"/>
        <item m="1" x="491"/>
        <item m="1" x="918"/>
        <item m="1" x="1440"/>
        <item m="1" x="860"/>
        <item m="1" x="237"/>
        <item m="1" x="1009"/>
        <item m="1" x="1472"/>
        <item m="1" x="435"/>
        <item m="1" x="1383"/>
        <item m="1" x="1189"/>
        <item m="1" x="324"/>
        <item m="1" x="39"/>
        <item m="1" x="454"/>
        <item m="1" x="810"/>
        <item m="1" x="1370"/>
        <item m="1" x="43"/>
        <item m="1" x="1434"/>
        <item m="1" x="766"/>
        <item m="1" x="1206"/>
        <item m="1" x="1136"/>
        <item m="1" x="614"/>
        <item m="1" x="378"/>
        <item m="1" x="1320"/>
        <item m="1" x="701"/>
        <item m="1" x="94"/>
        <item m="1" x="277"/>
        <item m="1" x="597"/>
        <item m="1" x="102"/>
        <item m="1" x="269"/>
        <item m="1" x="1292"/>
        <item m="1" x="305"/>
        <item m="1" x="1025"/>
        <item m="1" x="1201"/>
        <item m="1" x="170"/>
        <item m="1" x="422"/>
        <item m="1" x="1395"/>
        <item m="1" x="572"/>
        <item m="1" x="919"/>
        <item m="1" x="1100"/>
        <item m="1" x="724"/>
        <item m="1" x="729"/>
        <item m="1" x="652"/>
        <item m="1" x="961"/>
        <item m="1" x="1456"/>
        <item m="1" x="1324"/>
        <item m="1" x="45"/>
        <item m="1" x="840"/>
        <item m="1" x="836"/>
        <item m="1" x="1068"/>
        <item m="1" x="1202"/>
        <item m="1" x="1345"/>
        <item m="1" x="407"/>
        <item m="1" x="825"/>
        <item m="1" x="318"/>
        <item m="1" x="1475"/>
        <item m="1" x="343"/>
        <item m="1" x="1005"/>
        <item m="1" x="54"/>
        <item m="1" x="1199"/>
        <item m="1" x="672"/>
        <item m="1" x="321"/>
        <item m="1" x="781"/>
        <item m="1" x="1357"/>
        <item m="1" x="1318"/>
        <item m="1" x="689"/>
        <item m="1" x="847"/>
        <item m="1" x="692"/>
        <item m="1" x="123"/>
        <item m="1" x="1109"/>
        <item m="1" x="547"/>
        <item m="1" x="171"/>
        <item m="1" x="1211"/>
        <item m="1" x="226"/>
        <item m="1" x="792"/>
        <item m="1" x="868"/>
        <item m="1" x="1305"/>
        <item m="1" x="1306"/>
        <item m="1" x="1087"/>
        <item m="1" x="1280"/>
        <item m="1" x="618"/>
        <item m="1" x="613"/>
        <item m="1" x="569"/>
        <item m="1" x="1458"/>
        <item m="1" x="164"/>
        <item m="1" x="721"/>
        <item m="1" x="752"/>
        <item m="1" x="404"/>
        <item m="1" x="47"/>
        <item m="1" x="843"/>
        <item m="1" x="329"/>
        <item m="1" x="911"/>
        <item m="1" x="513"/>
        <item m="1" x="1486"/>
        <item m="1" x="710"/>
        <item m="1" x="571"/>
        <item m="1" x="861"/>
        <item m="1" x="431"/>
        <item m="1" x="804"/>
        <item m="1" x="526"/>
        <item m="1" x="1414"/>
        <item m="1" x="1026"/>
        <item m="1" x="1231"/>
        <item m="1" x="1436"/>
        <item m="1" x="1089"/>
        <item m="1" x="553"/>
        <item m="1" x="287"/>
        <item m="1" x="947"/>
        <item m="1" x="73"/>
        <item m="1" x="910"/>
        <item m="1" x="795"/>
        <item m="1" x="1393"/>
        <item m="1" x="965"/>
        <item m="1" x="510"/>
        <item m="1" x="1376"/>
        <item m="1" x="358"/>
        <item m="1" x="280"/>
        <item m="1" x="1473"/>
        <item m="1" x="346"/>
        <item m="1" x="1410"/>
        <item m="1" x="548"/>
        <item m="1" x="337"/>
        <item m="1" x="6"/>
        <item m="1" x="1484"/>
        <item m="1" x="143"/>
        <item m="1" x="570"/>
        <item m="1" x="114"/>
        <item m="1" x="1399"/>
        <item m="1" x="497"/>
        <item m="1" x="1469"/>
        <item m="1" x="690"/>
        <item m="1" x="348"/>
        <item m="1" x="696"/>
        <item m="1" x="1354"/>
        <item m="1" x="935"/>
        <item m="1" x="12"/>
        <item m="1" x="419"/>
        <item m="1" x="1377"/>
        <item m="1" x="1232"/>
        <item m="1" x="1117"/>
        <item m="1" x="1224"/>
        <item m="1" x="1247"/>
        <item m="1" x="608"/>
        <item m="1" x="405"/>
        <item m="1" x="1437"/>
        <item m="1" x="187"/>
        <item m="1" x="1303"/>
        <item m="1" x="180"/>
        <item m="1" x="859"/>
        <item m="1" x="350"/>
        <item m="1" x="444"/>
        <item m="1" x="21"/>
        <item m="1" x="1267"/>
        <item m="1" x="1314"/>
        <item m="1" x="1112"/>
        <item m="1" x="468"/>
        <item m="1" x="1142"/>
        <item m="1" x="556"/>
        <item m="1" x="289"/>
        <item m="1" x="82"/>
        <item m="1" x="676"/>
        <item m="1" x="113"/>
        <item m="1" x="1205"/>
        <item m="1" x="1225"/>
        <item m="1" x="1186"/>
        <item m="1" x="555"/>
        <item m="1" x="134"/>
        <item m="1" x="486"/>
        <item m="1" x="976"/>
        <item m="1" x="785"/>
        <item m="1" x="494"/>
        <item m="1" x="816"/>
        <item m="1" x="1316"/>
        <item m="1" x="1129"/>
        <item m="1" x="600"/>
        <item m="1" x="1423"/>
        <item m="1" x="230"/>
        <item m="1" x="1144"/>
        <item m="1" x="803"/>
        <item m="1" x="837"/>
        <item m="1" x="637"/>
        <item m="1" x="1088"/>
        <item m="1" x="1043"/>
        <item m="1" x="323"/>
        <item m="1" x="940"/>
        <item m="1" x="1119"/>
        <item m="1" x="1284"/>
        <item m="1" x="989"/>
        <item m="1" x="808"/>
        <item m="1" x="380"/>
        <item m="1" x="453"/>
        <item m="1" x="511"/>
        <item m="1" x="331"/>
        <item m="1" x="1191"/>
        <item m="1" x="814"/>
        <item m="1" x="1163"/>
        <item m="1" x="1107"/>
        <item m="1" x="1343"/>
        <item m="1" x="755"/>
        <item m="1" x="496"/>
        <item m="1" x="1432"/>
        <item m="1" x="702"/>
        <item m="1" x="299"/>
        <item m="1" x="775"/>
        <item m="1" x="933"/>
        <item m="1" x="583"/>
        <item m="1" x="725"/>
        <item m="1" x="1116"/>
        <item m="1" x="1251"/>
        <item m="1" x="83"/>
        <item m="1" x="151"/>
        <item m="1" x="155"/>
        <item m="1" x="218"/>
        <item m="1" x="531"/>
        <item m="1" x="874"/>
        <item m="1" x="383"/>
        <item m="1" x="1285"/>
        <item m="1" x="1040"/>
        <item m="1" x="1397"/>
        <item m="1" x="345"/>
        <item m="1" x="1118"/>
        <item m="1" x="761"/>
        <item m="1" x="645"/>
        <item m="1" x="1299"/>
        <item m="1" x="824"/>
        <item m="1" x="199"/>
        <item m="1" x="246"/>
        <item m="1" x="951"/>
        <item m="1" x="1143"/>
        <item m="1" x="233"/>
        <item m="1" x="74"/>
        <item m="1" x="1157"/>
        <item m="1" x="621"/>
        <item m="1" x="189"/>
        <item m="1" x="849"/>
        <item m="1" x="471"/>
        <item m="1" x="650"/>
        <item m="1" x="488"/>
        <item m="1" x="730"/>
        <item m="1" x="736"/>
        <item m="1" x="1455"/>
        <item m="1" x="1104"/>
        <item m="1" x="1253"/>
        <item m="1" x="1160"/>
        <item m="1" x="161"/>
        <item m="1" x="748"/>
        <item m="1" x="1018"/>
        <item m="1" x="1158"/>
        <item m="1" x="1237"/>
        <item m="1" x="739"/>
        <item m="1" x="452"/>
        <item m="1" x="13"/>
        <item m="1" x="693"/>
        <item m="1" x="1431"/>
        <item m="1" x="854"/>
        <item m="1" x="999"/>
        <item m="1" x="1381"/>
        <item m="1" x="1134"/>
        <item m="1" x="400"/>
        <item m="1" x="641"/>
        <item m="1" x="634"/>
        <item m="1" x="184"/>
        <item m="1" x="1196"/>
        <item m="1" x="1067"/>
        <item m="1" x="1277"/>
        <item m="1" x="17"/>
        <item m="1" x="504"/>
        <item m="1" x="881"/>
        <item m="1" x="581"/>
        <item m="1" x="558"/>
        <item m="1" x="296"/>
        <item m="1" x="905"/>
        <item m="1" x="1490"/>
        <item m="1" x="481"/>
        <item m="1" x="197"/>
        <item m="1" x="137"/>
        <item m="1" x="521"/>
        <item m="1" x="145"/>
        <item m="1" x="1"/>
        <item m="1" x="1019"/>
        <item m="1" x="819"/>
        <item m="1" x="677"/>
        <item m="1" x="990"/>
        <item m="1" x="1188"/>
        <item m="1" x="394"/>
        <item m="1" x="537"/>
        <item m="1" x="103"/>
        <item m="1" x="48"/>
        <item m="1" x="1036"/>
        <item m="1" x="42"/>
        <item m="1" x="1366"/>
        <item m="1" x="322"/>
        <item m="1" x="403"/>
        <item m="1" x="954"/>
        <item m="1" x="1171"/>
        <item m="1" x="1090"/>
        <item m="1" x="265"/>
        <item m="1" x="691"/>
        <item m="1" x="257"/>
        <item m="1" x="1454"/>
        <item m="1" x="1493"/>
        <item m="1" x="92"/>
        <item m="1" x="1420"/>
        <item m="1" x="507"/>
        <item m="1" x="1407"/>
        <item m="1" x="958"/>
        <item m="1" x="670"/>
        <item m="1" x="1279"/>
        <item m="1" x="922"/>
        <item m="1" x="1387"/>
        <item m="1" x="268"/>
        <item m="1" x="876"/>
        <item m="1" x="293"/>
        <item m="1" x="183"/>
        <item m="1" x="1216"/>
        <item m="1" x="1496"/>
        <item m="1" x="3"/>
        <item m="1" x="241"/>
        <item m="1" x="362"/>
        <item m="1" x="157"/>
        <item m="1" x="1127"/>
        <item m="1" x="175"/>
        <item m="1" x="1392"/>
        <item m="1" x="762"/>
        <item m="1" x="557"/>
        <item m="1" x="982"/>
        <item m="1" x="878"/>
        <item m="1" x="1128"/>
        <item m="1" x="848"/>
        <item m="1" x="349"/>
        <item m="1" x="1085"/>
        <item m="1" x="898"/>
        <item m="1" x="1480"/>
        <item m="1" x="938"/>
        <item m="1" x="589"/>
        <item m="1" x="796"/>
        <item m="1" x="465"/>
        <item m="1" x="930"/>
        <item m="1" x="212"/>
        <item m="1" x="450"/>
        <item m="1" x="292"/>
        <item m="1" x="680"/>
        <item m="1" x="712"/>
        <item m="1" x="1282"/>
        <item m="1" x="576"/>
        <item m="1" x="449"/>
        <item m="1" x="727"/>
        <item m="1" x="1065"/>
        <item m="1" x="1052"/>
        <item m="1" x="1417"/>
        <item m="1" x="1062"/>
        <item m="1" x="169"/>
        <item m="1" x="294"/>
        <item m="1" x="994"/>
        <item m="1" x="1230"/>
        <item m="1" x="124"/>
        <item m="1" x="1385"/>
        <item m="1" x="302"/>
        <item m="1" x="588"/>
        <item m="1" x="147"/>
        <item m="1" x="1492"/>
        <item m="1" x="811"/>
        <item m="1" x="1326"/>
        <item m="1" x="1233"/>
        <item m="1" x="1222"/>
        <item m="1" x="304"/>
        <item m="1" x="554"/>
        <item m="1" x="839"/>
        <item m="1" x="631"/>
        <item m="1" x="389"/>
        <item m="1" x="1210"/>
        <item m="1" x="200"/>
        <item m="1" x="105"/>
        <item m="1" x="561"/>
        <item m="1" x="1077"/>
        <item m="1" x="536"/>
        <item m="1" x="364"/>
        <item m="1" x="1297"/>
        <item m="1" x="1120"/>
        <item m="1" x="361"/>
        <item m="1" x="1404"/>
        <item m="1" x="1273"/>
        <item m="1" x="780"/>
        <item m="1" x="97"/>
        <item m="1" x="746"/>
        <item m="1" x="1317"/>
        <item m="1" x="1014"/>
        <item m="1" x="622"/>
        <item m="1" x="112"/>
        <item m="1" x="1386"/>
        <item m="1" x="232"/>
        <item m="1" x="1349"/>
        <item m="1" x="673"/>
        <item m="1" x="668"/>
        <item m="1" x="870"/>
        <item m="1" x="722"/>
        <item m="1" x="772"/>
        <item m="1" x="857"/>
        <item m="1" x="880"/>
        <item m="1" x="798"/>
        <item m="1" x="127"/>
        <item m="1" x="633"/>
        <item m="1" x="1441"/>
        <item m="1" x="1255"/>
        <item m="1" x="121"/>
        <item m="1" x="312"/>
        <item m="1" x="211"/>
        <item m="1" x="1208"/>
        <item m="1" x="805"/>
        <item m="1" x="173"/>
        <item m="1" x="996"/>
        <item m="1" x="456"/>
        <item m="1" x="216"/>
        <item m="1" x="340"/>
        <item m="1" x="1274"/>
        <item m="1" x="1080"/>
        <item m="1" x="714"/>
        <item m="1" x="900"/>
        <item m="1" x="694"/>
        <item m="1" x="638"/>
        <item m="1" x="704"/>
        <item m="1" x="888"/>
        <item m="1" x="86"/>
        <item m="1" x="1223"/>
        <item m="1" x="844"/>
        <item m="1" x="434"/>
        <item m="1" x="612"/>
        <item m="1" x="110"/>
        <item m="1" x="273"/>
        <item m="1" x="852"/>
        <item m="1" x="424"/>
        <item m="1" x="586"/>
        <item m="1" x="602"/>
        <item m="1" x="568"/>
        <item m="1" x="647"/>
        <item m="1" x="458"/>
        <item m="1" x="300"/>
        <item m="1" x="159"/>
        <item m="1" x="1463"/>
        <item m="1" x="78"/>
        <item m="1" x="651"/>
        <item m="1" x="1332"/>
        <item m="1" x="77"/>
        <item m="1" x="737"/>
        <item m="1" x="303"/>
        <item m="1" x="470"/>
        <item m="1" x="1073"/>
        <item m="1" x="977"/>
        <item m="1" x="1219"/>
        <item m="1" x="281"/>
        <item m="1" x="1355"/>
        <item m="1" x="1082"/>
        <item m="1" x="1235"/>
        <item m="1" x="667"/>
        <item m="1" x="203"/>
        <item m="1" x="332"/>
        <item m="1" x="1154"/>
        <item m="1" x="1333"/>
        <item m="1" x="923"/>
        <item m="1" x="125"/>
        <item m="1" x="1045"/>
        <item m="1" x="610"/>
        <item m="1" x="1083"/>
        <item m="1" x="1358"/>
        <item m="1" x="188"/>
        <item m="1" x="535"/>
        <item m="1" x="1147"/>
        <item m="1" x="567"/>
        <item m="1" x="1329"/>
        <item m="1" x="133"/>
        <item m="1" x="1023"/>
        <item m="1" x="1275"/>
        <item m="1" x="662"/>
        <item m="1" x="768"/>
        <item m="1" x="24"/>
        <item m="1" x="624"/>
        <item m="1" x="271"/>
        <item m="1" x="209"/>
        <item m="1" x="1389"/>
        <item m="1" x="1181"/>
        <item m="1" x="663"/>
        <item m="1" x="534"/>
        <item m="1" x="1182"/>
        <item m="1" x="177"/>
        <item m="1" x="1132"/>
        <item m="1" x="148"/>
        <item m="1" x="620"/>
        <item m="1" x="1241"/>
        <item m="1" x="131"/>
        <item m="1" x="944"/>
        <item m="1" x="834"/>
        <item m="1" x="956"/>
        <item m="1" x="1487"/>
        <item m="1" x="426"/>
        <item m="1" x="437"/>
        <item m="1" x="119"/>
        <item m="1" x="1342"/>
        <item m="1" x="229"/>
        <item m="1" x="1295"/>
        <item m="1" x="883"/>
        <item m="1" x="222"/>
        <item m="1" x="932"/>
        <item m="1" x="826"/>
        <item m="1" x="1108"/>
        <item m="1" x="503"/>
        <item m="1" x="1406"/>
        <item m="1" x="705"/>
        <item m="1" x="1382"/>
        <item m="1" x="1312"/>
        <item m="1" x="717"/>
        <item m="1" x="1033"/>
        <item m="1" x="260"/>
        <item m="1" x="1035"/>
        <item m="1" x="907"/>
        <item m="1" x="1325"/>
        <item m="1" x="201"/>
        <item m="1" x="353"/>
        <item m="1" x="1069"/>
        <item m="1" x="904"/>
        <item m="1" x="1020"/>
        <item m="1" x="1146"/>
        <item m="1" x="750"/>
        <item m="1" x="1259"/>
        <item m="1" x="573"/>
        <item m="1" x="1221"/>
        <item m="1" x="992"/>
        <item m="1" x="1093"/>
        <item m="1" x="797"/>
        <item m="1" x="1164"/>
        <item m="1" x="514"/>
        <item m="1" x="551"/>
        <item m="1" x="1287"/>
        <item m="1" x="1242"/>
        <item m="1" x="1339"/>
        <item m="1" x="139"/>
        <item m="1" x="371"/>
        <item m="1" x="387"/>
        <item m="1" x="238"/>
        <item m="1" x="186"/>
        <item m="1" x="1367"/>
        <item m="1" x="344"/>
        <item m="1" x="598"/>
        <item m="1" x="1161"/>
        <item m="1" x="455"/>
        <item m="1" x="1156"/>
        <item m="1" x="1115"/>
        <item m="1" x="719"/>
        <item m="1" x="669"/>
        <item m="1" x="373"/>
        <item m="1" x="57"/>
        <item m="1" x="498"/>
        <item m="1" x="336"/>
        <item m="1" x="991"/>
        <item m="1" x="191"/>
        <item m="1" x="779"/>
        <item m="1" x="32"/>
        <item m="1" x="757"/>
        <item m="1" x="817"/>
        <item m="1" x="446"/>
        <item m="1" x="742"/>
        <item m="1" x="926"/>
        <item m="1" x="1051"/>
        <item m="1" x="969"/>
        <item m="1" x="120"/>
        <item m="1" x="1347"/>
        <item m="1" x="579"/>
        <item m="1" x="674"/>
        <item m="1" x="100"/>
        <item m="1" x="1352"/>
        <item m="1" x="1150"/>
        <item m="1" x="68"/>
        <item m="1" x="688"/>
        <item m="1" x="95"/>
        <item m="1" x="928"/>
        <item m="1" x="929"/>
        <item m="1" x="1501"/>
        <item m="1" x="609"/>
        <item m="1" x="833"/>
        <item m="1" x="525"/>
        <item m="1" x="52"/>
        <item m="1" x="777"/>
        <item m="1" x="871"/>
        <item m="1" x="406"/>
        <item m="1" x="253"/>
        <item m="1" x="703"/>
        <item m="1" x="1264"/>
        <item m="1" x="284"/>
        <item m="1" x="418"/>
        <item m="1" x="163"/>
        <item m="1" x="1443"/>
        <item m="1" x="936"/>
        <item m="1" x="1257"/>
        <item m="1" x="1180"/>
        <item m="1" x="1438"/>
        <item m="1" x="1408"/>
        <item m="1" x="1338"/>
        <item m="1" x="130"/>
        <item m="1" x="577"/>
        <item m="1" x="317"/>
        <item m="1" x="1212"/>
        <item m="1" x="15"/>
        <item m="1" x="723"/>
        <item m="1" x="126"/>
        <item m="1" x="1229"/>
        <item m="1" x="75"/>
        <item m="1" x="879"/>
        <item m="1" x="1177"/>
        <item m="1" x="812"/>
        <item m="1" x="1021"/>
        <item m="1" x="630"/>
        <item m="1" x="974"/>
        <item m="1" x="10"/>
        <item m="1" x="831"/>
        <item m="1" x="1265"/>
        <item m="1" x="927"/>
        <item m="1" x="682"/>
        <item m="1" x="214"/>
        <item m="1" x="1092"/>
        <item m="1" x="291"/>
        <item m="1" x="1360"/>
        <item m="1" x="756"/>
        <item m="1" x="1301"/>
        <item m="1" x="931"/>
        <item m="1" x="1447"/>
        <item m="1" x="1396"/>
        <item m="1" x="783"/>
        <item m="1" x="1168"/>
        <item m="1" x="1362"/>
        <item m="1" x="1239"/>
        <item m="1" x="707"/>
        <item m="1" x="1412"/>
        <item m="1" x="1451"/>
        <item m="1" x="941"/>
        <item m="1" x="116"/>
        <item m="1" x="584"/>
        <item m="1" x="1351"/>
        <item m="1" x="1321"/>
        <item m="1" x="987"/>
        <item m="1" x="713"/>
        <item m="1" x="1271"/>
        <item m="1" x="14"/>
        <item m="1" x="1123"/>
        <item m="1" x="679"/>
        <item m="1" x="192"/>
        <item m="1" x="390"/>
        <item m="1" x="71"/>
        <item m="1" x="875"/>
        <item m="1" x="773"/>
        <item m="1" x="656"/>
        <item m="1" x="964"/>
        <item m="1" x="595"/>
        <item m="1" x="1152"/>
        <item m="1" x="492"/>
        <item m="1" x="596"/>
        <item m="1" x="1159"/>
        <item m="1" x="866"/>
        <item m="1" x="195"/>
        <item m="1" x="732"/>
        <item m="1" x="1416"/>
        <item m="1" x="154"/>
        <item m="1" x="311"/>
        <item m="1" x="473"/>
        <item m="1" x="851"/>
        <item m="1" x="1174"/>
        <item m="1" x="1044"/>
        <item m="1" x="1049"/>
        <item m="1" x="447"/>
        <item m="1" x="38"/>
        <item m="1" x="711"/>
        <item m="1" x="1300"/>
        <item m="1" x="1243"/>
        <item m="1" x="619"/>
        <item m="1" x="1365"/>
        <item m="1" x="1378"/>
        <item m="1" x="1331"/>
        <item x="0"/>
        <item m="1" x="30"/>
        <item m="1" x="172"/>
        <item m="1" x="853"/>
        <item m="1" x="1405"/>
        <item m="1" x="377"/>
        <item m="1" x="88"/>
        <item m="1" x="1425"/>
        <item m="1" x="1445"/>
        <item m="1" x="90"/>
        <item m="1" x="1183"/>
        <item m="1" x="850"/>
        <item m="1" x="1098"/>
        <item m="1" x="1213"/>
        <item m="1" x="1185"/>
        <item m="1" x="615"/>
        <item m="1" x="381"/>
        <item m="1" x="467"/>
        <item m="1" x="152"/>
        <item m="1" x="828"/>
        <item m="1" x="443"/>
        <item m="1" x="865"/>
        <item m="1" x="1494"/>
        <item m="1" x="1061"/>
        <item m="1" x="1198"/>
        <item m="1" x="1319"/>
        <item m="1" x="391"/>
        <item m="1" x="1466"/>
        <item m="1" x="1304"/>
        <item m="1" x="530"/>
        <item m="1" x="1252"/>
        <item m="1" x="320"/>
        <item m="1" x="1462"/>
        <item m="1" x="1372"/>
        <item m="1" x="1311"/>
        <item m="1" x="1433"/>
        <item m="1" x="959"/>
        <item m="1" x="699"/>
        <item m="1" x="500"/>
        <item m="1" x="16"/>
        <item m="1" x="196"/>
        <item m="1" x="1091"/>
        <item m="1" x="1207"/>
        <item m="1" x="202"/>
        <item m="1" x="275"/>
        <item m="1" x="698"/>
        <item m="1" x="236"/>
        <item m="1" x="264"/>
        <item m="1" x="41"/>
        <item m="1" x="1245"/>
        <item m="1" x="1022"/>
        <item m="1" x="483"/>
        <item m="1" x="1240"/>
        <item m="1" x="26"/>
        <item m="1" x="427"/>
        <item m="1" x="1474"/>
        <item m="1" x="1037"/>
        <item m="1" x="684"/>
        <item m="1" x="475"/>
        <item m="1" x="735"/>
        <item m="1" x="913"/>
        <item m="1" x="842"/>
        <item m="1" x="445"/>
        <item m="1" x="1138"/>
        <item m="1" x="160"/>
        <item m="1" x="912"/>
        <item m="1" x="149"/>
        <item m="1" x="194"/>
        <item m="1" x="376"/>
        <item m="1" x="1173"/>
        <item m="1" x="178"/>
        <item m="1" x="1413"/>
        <item m="1" x="1046"/>
        <item m="1" x="939"/>
        <item m="1" x="1011"/>
        <item m="1" x="279"/>
        <item m="1" x="61"/>
        <item m="1" x="643"/>
        <item m="1" x="44"/>
        <item m="1" x="326"/>
        <item m="1" x="1328"/>
        <item m="1" x="388"/>
        <item m="1" x="1356"/>
        <item m="1" x="274"/>
        <item m="1" x="476"/>
        <item m="1" x="903"/>
        <item m="1" x="726"/>
        <item m="1" x="1041"/>
        <item m="1" x="997"/>
        <item m="1" x="354"/>
        <item m="1" x="738"/>
        <item m="1" x="144"/>
        <item m="1" x="639"/>
        <item m="1" x="1135"/>
        <item m="1" x="1218"/>
        <item m="1" x="402"/>
        <item m="1" x="1016"/>
        <item m="1" x="832"/>
        <item m="1" x="408"/>
        <item m="1" x="983"/>
        <item m="1" x="382"/>
        <item m="1" x="544"/>
        <item m="1" x="250"/>
        <item m="1" x="1497"/>
        <item m="1" x="421"/>
        <item m="1" x="818"/>
        <item m="1" x="459"/>
        <item m="1" x="1398"/>
        <item m="1" x="549"/>
        <item m="1" x="441"/>
        <item m="1" x="671"/>
        <item m="1" x="1374"/>
        <item m="1" x="409"/>
        <item m="1" x="664"/>
        <item m="1" x="564"/>
        <item m="1" x="1479"/>
        <item m="1" x="678"/>
        <item m="1" x="1039"/>
        <item m="1" x="19"/>
        <item m="1" x="243"/>
        <item m="1" x="1172"/>
        <item m="1" x="925"/>
        <item m="1" x="791"/>
        <item m="1" x="128"/>
        <item m="1" x="129"/>
        <item m="1" x="1315"/>
        <item m="1" x="617"/>
        <item m="1" x="138"/>
        <item m="1" x="518"/>
        <item m="1" x="1209"/>
        <item m="1" x="546"/>
        <item m="1" x="1056"/>
        <item m="1" x="1192"/>
        <item m="1" x="416"/>
        <item m="1" x="1003"/>
        <item m="1" x="1141"/>
        <item m="1" x="1430"/>
        <item m="1" x="150"/>
        <item m="1" x="765"/>
        <item m="1" x="433"/>
        <item m="1" x="1121"/>
        <item m="1" x="384"/>
        <item m="1" x="375"/>
        <item m="1" x="252"/>
        <item m="1" x="625"/>
        <item m="1" x="1449"/>
        <item m="1" x="1364"/>
        <item m="1" x="1346"/>
        <item m="1" x="99"/>
        <item m="1" x="784"/>
        <item m="1" x="28"/>
        <item m="1" x="117"/>
        <item m="1" x="971"/>
        <item m="1" x="1110"/>
        <item m="1" x="1289"/>
        <item m="1" x="146"/>
        <item m="1" x="397"/>
        <item m="1" x="436"/>
        <item m="1" x="506"/>
        <item m="1" x="478"/>
        <item m="1" x="315"/>
        <item m="1" x="179"/>
        <item m="1" x="430"/>
        <item m="1" x="529"/>
        <item m="1" x="314"/>
        <item m="1" x="79"/>
        <item m="1" x="1103"/>
        <item m="1" x="27"/>
        <item m="1" x="176"/>
        <item m="1" x="603"/>
        <item m="1" x="158"/>
        <item m="1" x="902"/>
        <item m="1" x="845"/>
        <item m="1" x="141"/>
        <item m="1" x="1471"/>
        <item m="1" x="1310"/>
        <item m="1" x="266"/>
        <item m="1" x="593"/>
        <item m="1" x="1424"/>
        <item m="1" x="1270"/>
        <item m="1" x="1008"/>
        <item m="1" x="864"/>
        <item m="1" x="802"/>
        <item m="1" x="1394"/>
        <item m="1" x="247"/>
        <item m="1" x="715"/>
        <item m="1" x="1422"/>
        <item m="1" x="1226"/>
        <item m="1" x="953"/>
        <item m="1" x="225"/>
        <item m="1" x="709"/>
        <item m="1" x="256"/>
        <item m="1" x="743"/>
        <item m="1" x="985"/>
        <item m="1" x="20"/>
        <item m="1" x="901"/>
        <item m="1" x="1217"/>
        <item m="1" x="29"/>
        <item m="1" x="1286"/>
        <item m="1" x="248"/>
        <item m="1" x="970"/>
        <item m="1" x="914"/>
        <item m="1" x="1012"/>
        <item m="1" x="563"/>
        <item m="1" x="469"/>
        <item m="1" x="1140"/>
        <item m="1" x="307"/>
        <item m="1" x="106"/>
        <item m="1" x="835"/>
        <item m="1" x="988"/>
        <item m="1" x="347"/>
        <item m="1" x="1086"/>
        <item m="1" x="523"/>
        <item m="1" x="846"/>
        <item m="1" x="341"/>
        <item m="1" x="1151"/>
        <item m="1" x="410"/>
        <item m="1" x="728"/>
        <item m="1" x="718"/>
        <item m="1" x="741"/>
      </items>
      <autoSortScope>
        <pivotArea dataOnly="0" outline="0" fieldPosition="0">
          <references count="1">
            <reference field="4294967294" count="1" selected="0">
              <x v="5"/>
            </reference>
          </references>
        </pivotArea>
      </autoSortScope>
    </pivotField>
    <pivotField compact="0" numFmtId="22" outline="0" showAll="0" defaultSubtotal="0"/>
    <pivotField compact="0" outline="0" showAll="0" defaultSubtotal="0"/>
    <pivotField compact="0" outline="0" showAll="0" defaultSubtotal="0"/>
    <pivotField compact="0" numFmtId="22" outline="0" showAll="0" defaultSubtotal="0"/>
    <pivotField compact="0" outline="0" showAll="0" defaultSubtotal="0"/>
    <pivotField compact="0" outline="0" showAll="0" defaultSubtotal="0"/>
    <pivotField compact="0" numFmtId="22" outline="0" showAll="0" defaultSubtotal="0"/>
    <pivotField dataField="1" compact="0" outline="0" showAll="0"/>
    <pivotField dataField="1" compact="0" outline="0" showAll="0"/>
    <pivotField dataField="1" compact="0" outline="0" showAll="0"/>
    <pivotField dataField="1" compact="0" outline="0" showAll="0"/>
    <pivotField dataField="1" compact="0" outline="0" showAll="0"/>
    <pivotField dataField="1" compact="0" numFmtId="44" outline="0" showAll="0"/>
    <pivotField compact="0" outline="0" showAll="0"/>
    <pivotField compact="0" outline="0" showAll="0"/>
    <pivotField compact="0" outline="0" showAll="0"/>
    <pivotField compact="0" numFmtId="44" outline="0" showAll="0" defaultSubtotal="0"/>
    <pivotField compact="0" numFmtId="44" outline="0" showAll="0" defaultSubtotal="0"/>
  </pivotFields>
  <rowFields count="1">
    <field x="3"/>
  </rowFields>
  <rowItems count="2">
    <i>
      <x v="1606"/>
    </i>
    <i t="grand">
      <x/>
    </i>
  </rowItems>
  <colFields count="1">
    <field x="-2"/>
  </colFields>
  <colItems count="6">
    <i>
      <x/>
    </i>
    <i i="1">
      <x v="1"/>
    </i>
    <i i="2">
      <x v="2"/>
    </i>
    <i i="3">
      <x v="3"/>
    </i>
    <i i="4">
      <x v="4"/>
    </i>
    <i i="5">
      <x v="5"/>
    </i>
  </colItems>
  <pageFields count="1">
    <pageField fld="0" hier="-1"/>
  </pageFields>
  <dataFields count="6">
    <dataField name="Current Amount" fld="14" baseField="3" baseItem="505" numFmtId="4"/>
    <dataField name="1-30 Amoung" fld="15" baseField="3" baseItem="505" numFmtId="4"/>
    <dataField name="31-60 Amount" fld="16" baseField="3" baseItem="505" numFmtId="4"/>
    <dataField name="61-90 Amount" fld="17" baseField="3" baseItem="505" numFmtId="4"/>
    <dataField name="Over 90 Amount" fld="18" baseField="3" baseItem="505" numFmtId="4"/>
    <dataField name="Total Aged" fld="19" baseField="3" baseItem="505" numFmtId="4"/>
  </dataFields>
  <formats count="26">
    <format dxfId="155">
      <pivotArea type="all" dataOnly="0" outline="0" fieldPosition="0"/>
    </format>
    <format dxfId="154">
      <pivotArea field="6" type="button" dataOnly="0" labelOnly="1" outline="0"/>
    </format>
    <format dxfId="153">
      <pivotArea dataOnly="0" labelOnly="1" outline="0" fieldPosition="0">
        <references count="1">
          <reference field="4294967294" count="6">
            <x v="0"/>
            <x v="1"/>
            <x v="2"/>
            <x v="3"/>
            <x v="4"/>
            <x v="5"/>
          </reference>
        </references>
      </pivotArea>
    </format>
    <format dxfId="152">
      <pivotArea field="6" type="button" dataOnly="0" labelOnly="1" outline="0"/>
    </format>
    <format dxfId="151">
      <pivotArea dataOnly="0" labelOnly="1" outline="0" fieldPosition="0">
        <references count="1">
          <reference field="4294967294" count="6">
            <x v="0"/>
            <x v="1"/>
            <x v="2"/>
            <x v="3"/>
            <x v="4"/>
            <x v="5"/>
          </reference>
        </references>
      </pivotArea>
    </format>
    <format dxfId="150">
      <pivotArea dataOnly="0" grandRow="1" outline="0" axis="axisRow" fieldPosition="0"/>
    </format>
    <format dxfId="149">
      <pivotArea dataOnly="0" grandRow="1" outline="0" axis="axisRow" fieldPosition="0"/>
    </format>
    <format dxfId="148">
      <pivotArea dataOnly="0" outline="0" fieldPosition="0">
        <references count="1">
          <reference field="4294967294" count="6">
            <x v="0"/>
            <x v="1"/>
            <x v="2"/>
            <x v="3"/>
            <x v="4"/>
            <x v="5"/>
          </reference>
        </references>
      </pivotArea>
    </format>
    <format dxfId="147">
      <pivotArea field="3" type="button" dataOnly="0" labelOnly="1" outline="0" axis="axisRow" fieldPosition="0"/>
    </format>
    <format dxfId="146">
      <pivotArea dataOnly="0" labelOnly="1" outline="0" fieldPosition="0">
        <references count="1">
          <reference field="4294967294" count="6">
            <x v="0"/>
            <x v="1"/>
            <x v="2"/>
            <x v="3"/>
            <x v="4"/>
            <x v="5"/>
          </reference>
        </references>
      </pivotArea>
    </format>
    <format dxfId="145">
      <pivotArea field="3" type="button" dataOnly="0" labelOnly="1" outline="0" axis="axisRow" fieldPosition="0"/>
    </format>
    <format dxfId="144">
      <pivotArea dataOnly="0" labelOnly="1" outline="0" fieldPosition="0">
        <references count="1">
          <reference field="4294967294" count="6">
            <x v="0"/>
            <x v="1"/>
            <x v="2"/>
            <x v="3"/>
            <x v="4"/>
            <x v="5"/>
          </reference>
        </references>
      </pivotArea>
    </format>
    <format dxfId="143">
      <pivotArea grandRow="1" outline="0" collapsedLevelsAreSubtotals="1" fieldPosition="0"/>
    </format>
    <format dxfId="142">
      <pivotArea dataOnly="0" labelOnly="1" grandRow="1" outline="0" fieldPosition="0"/>
    </format>
    <format dxfId="141">
      <pivotArea outline="0" fieldPosition="0">
        <references count="1">
          <reference field="4294967294" count="1">
            <x v="0"/>
          </reference>
        </references>
      </pivotArea>
    </format>
    <format dxfId="140">
      <pivotArea outline="0" fieldPosition="0">
        <references count="1">
          <reference field="4294967294" count="1">
            <x v="1"/>
          </reference>
        </references>
      </pivotArea>
    </format>
    <format dxfId="139">
      <pivotArea outline="0" fieldPosition="0">
        <references count="1">
          <reference field="4294967294" count="1">
            <x v="2"/>
          </reference>
        </references>
      </pivotArea>
    </format>
    <format dxfId="138">
      <pivotArea outline="0" fieldPosition="0">
        <references count="1">
          <reference field="4294967294" count="1">
            <x v="3"/>
          </reference>
        </references>
      </pivotArea>
    </format>
    <format dxfId="137">
      <pivotArea outline="0" fieldPosition="0">
        <references count="1">
          <reference field="4294967294" count="1">
            <x v="4"/>
          </reference>
        </references>
      </pivotArea>
    </format>
    <format dxfId="136">
      <pivotArea outline="0" fieldPosition="0">
        <references count="1">
          <reference field="4294967294" count="1">
            <x v="5"/>
          </reference>
        </references>
      </pivotArea>
    </format>
    <format dxfId="135">
      <pivotArea outline="0" fieldPosition="0">
        <references count="1">
          <reference field="4294967294" count="1">
            <x v="0"/>
          </reference>
        </references>
      </pivotArea>
    </format>
    <format dxfId="134">
      <pivotArea outline="0" fieldPosition="0">
        <references count="1">
          <reference field="4294967294" count="1">
            <x v="1"/>
          </reference>
        </references>
      </pivotArea>
    </format>
    <format dxfId="133">
      <pivotArea outline="0" fieldPosition="0">
        <references count="1">
          <reference field="4294967294" count="1">
            <x v="2"/>
          </reference>
        </references>
      </pivotArea>
    </format>
    <format dxfId="132">
      <pivotArea outline="0" fieldPosition="0">
        <references count="1">
          <reference field="4294967294" count="1">
            <x v="3"/>
          </reference>
        </references>
      </pivotArea>
    </format>
    <format dxfId="131">
      <pivotArea outline="0" fieldPosition="0">
        <references count="1">
          <reference field="4294967294" count="1">
            <x v="4"/>
          </reference>
        </references>
      </pivotArea>
    </format>
    <format dxfId="130">
      <pivotArea outline="0" fieldPosition="0">
        <references count="1">
          <reference field="4294967294" count="1">
            <x v="5"/>
          </reference>
        </references>
      </pivotArea>
    </format>
  </formats>
  <conditionalFormats count="2">
    <conditionalFormat type="all" priority="2">
      <pivotAreas count="1">
        <pivotArea type="data" outline="0" collapsedLevelsAreSubtotals="1" fieldPosition="0">
          <references count="2">
            <reference field="4294967294" count="1" selected="0">
              <x v="5"/>
            </reference>
            <reference field="3" count="395" selected="0">
              <x v="0"/>
              <x v="1"/>
              <x v="2"/>
              <x v="3"/>
              <x v="4"/>
              <x v="5"/>
              <x v="6"/>
              <x v="7"/>
              <x v="8"/>
              <x v="9"/>
              <x v="10"/>
              <x v="11"/>
              <x v="12"/>
              <x v="13"/>
              <x v="14"/>
              <x v="15"/>
              <x v="16"/>
              <x v="17"/>
              <x v="18"/>
              <x v="19"/>
              <x v="20"/>
              <x v="21"/>
              <x v="22"/>
              <x v="23"/>
              <x v="24"/>
              <x v="25"/>
              <x v="26"/>
              <x v="27"/>
              <x v="28"/>
              <x v="29"/>
              <x v="30"/>
              <x v="31"/>
              <x v="32"/>
              <x v="33"/>
              <x v="34"/>
              <x v="35"/>
              <x v="36"/>
              <x v="38"/>
              <x v="39"/>
              <x v="40"/>
              <x v="41"/>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x v="101"/>
              <x v="102"/>
              <x v="103"/>
              <x v="104"/>
              <x v="105"/>
              <x v="106"/>
              <x v="107"/>
              <x v="108"/>
              <x v="109"/>
              <x v="110"/>
              <x v="111"/>
              <x v="112"/>
              <x v="113"/>
              <x v="114"/>
              <x v="115"/>
              <x v="116"/>
              <x v="117"/>
              <x v="119"/>
              <x v="120"/>
              <x v="121"/>
              <x v="122"/>
              <x v="123"/>
              <x v="124"/>
              <x v="125"/>
              <x v="126"/>
              <x v="127"/>
              <x v="128"/>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8"/>
              <x v="199"/>
              <x v="200"/>
              <x v="201"/>
              <x v="202"/>
              <x v="203"/>
              <x v="204"/>
              <x v="205"/>
              <x v="206"/>
              <x v="207"/>
              <x v="208"/>
              <x v="209"/>
              <x v="210"/>
              <x v="211"/>
              <x v="212"/>
              <x v="213"/>
              <x v="214"/>
              <x v="215"/>
              <x v="216"/>
              <x v="218"/>
              <x v="219"/>
              <x v="220"/>
              <x v="221"/>
              <x v="222"/>
              <x v="223"/>
              <x v="224"/>
              <x v="225"/>
              <x v="226"/>
              <x v="227"/>
              <x v="228"/>
              <x v="229"/>
              <x v="230"/>
              <x v="231"/>
              <x v="232"/>
              <x v="233"/>
              <x v="234"/>
              <x v="235"/>
              <x v="236"/>
              <x v="237"/>
              <x v="238"/>
              <x v="239"/>
              <x v="240"/>
              <x v="241"/>
              <x v="242"/>
              <x v="243"/>
              <x v="244"/>
              <x v="245"/>
              <x v="246"/>
              <x v="247"/>
              <x v="248"/>
              <x v="249"/>
              <x v="250"/>
              <x v="251"/>
              <x v="252"/>
              <x v="253"/>
              <x v="254"/>
              <x v="255"/>
              <x v="256"/>
              <x v="258"/>
              <x v="259"/>
              <x v="260"/>
              <x v="261"/>
              <x v="262"/>
              <x v="263"/>
              <x v="264"/>
              <x v="265"/>
              <x v="266"/>
              <x v="267"/>
              <x v="268"/>
              <x v="269"/>
              <x v="270"/>
              <x v="271"/>
              <x v="272"/>
              <x v="273"/>
              <x v="274"/>
              <x v="275"/>
              <x v="276"/>
              <x v="277"/>
              <x v="278"/>
              <x v="279"/>
              <x v="280"/>
              <x v="281"/>
              <x v="282"/>
              <x v="283"/>
              <x v="284"/>
              <x v="285"/>
              <x v="286"/>
              <x v="288"/>
              <x v="289"/>
              <x v="290"/>
              <x v="291"/>
              <x v="292"/>
              <x v="293"/>
              <x v="294"/>
              <x v="295"/>
              <x v="296"/>
              <x v="297"/>
              <x v="298"/>
              <x v="299"/>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x v="400"/>
              <x v="403"/>
            </reference>
          </references>
        </pivotArea>
      </pivotAreas>
    </conditionalFormat>
    <conditionalFormat type="all" priority="1">
      <pivotAreas count="1">
        <pivotArea type="data" outline="0" collapsedLevelsAreSubtotals="1" fieldPosition="0">
          <references count="2">
            <reference field="4294967294" count="1" selected="0">
              <x v="5"/>
            </reference>
            <reference field="3" count="1151" selected="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x v="250"/>
              <x v="251"/>
              <x v="252"/>
              <x v="253"/>
              <x v="254"/>
              <x v="255"/>
              <x v="256"/>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x v="1000"/>
              <x v="1001"/>
              <x v="1002"/>
              <x v="1003"/>
              <x v="1004"/>
              <x v="1005"/>
              <x v="1006"/>
              <x v="1007"/>
              <x v="1008"/>
              <x v="1009"/>
              <x v="1010"/>
              <x v="1011"/>
              <x v="1012"/>
              <x v="1013"/>
              <x v="1014"/>
              <x v="1015"/>
              <x v="1016"/>
              <x v="1017"/>
              <x v="1018"/>
              <x v="1019"/>
              <x v="1020"/>
              <x v="1021"/>
              <x v="1022"/>
              <x v="1023"/>
              <x v="1024"/>
              <x v="1025"/>
              <x v="1026"/>
              <x v="1027"/>
              <x v="1028"/>
              <x v="1029"/>
              <x v="1030"/>
              <x v="1031"/>
              <x v="1032"/>
              <x v="1033"/>
              <x v="1034"/>
              <x v="1035"/>
              <x v="1036"/>
              <x v="1037"/>
              <x v="1038"/>
              <x v="1039"/>
              <x v="1040"/>
              <x v="1041"/>
              <x v="1042"/>
              <x v="1043"/>
              <x v="1044"/>
              <x v="1045"/>
              <x v="1046"/>
              <x v="1047"/>
              <x v="1048"/>
              <x v="1049"/>
              <x v="1050"/>
              <x v="1051"/>
              <x v="1052"/>
              <x v="1053"/>
              <x v="1054"/>
              <x v="1055"/>
              <x v="1056"/>
              <x v="1057"/>
              <x v="1058"/>
              <x v="1059"/>
              <x v="1060"/>
              <x v="1061"/>
              <x v="1062"/>
              <x v="1063"/>
              <x v="1064"/>
              <x v="1065"/>
              <x v="1066"/>
              <x v="1067"/>
              <x v="1068"/>
              <x v="1069"/>
              <x v="1070"/>
              <x v="1071"/>
              <x v="1072"/>
              <x v="1073"/>
              <x v="1074"/>
              <x v="1075"/>
              <x v="1076"/>
              <x v="1077"/>
              <x v="1078"/>
              <x v="1079"/>
              <x v="1080"/>
              <x v="1081"/>
              <x v="1082"/>
              <x v="1083"/>
              <x v="1084"/>
              <x v="1085"/>
              <x v="1086"/>
              <x v="1087"/>
              <x v="1088"/>
              <x v="1089"/>
              <x v="1090"/>
              <x v="1091"/>
              <x v="1092"/>
              <x v="1093"/>
              <x v="1094"/>
              <x v="1095"/>
              <x v="1096"/>
              <x v="1097"/>
              <x v="1098"/>
              <x v="1099"/>
              <x v="1100"/>
              <x v="1101"/>
              <x v="1102"/>
              <x v="1103"/>
              <x v="1104"/>
              <x v="1105"/>
              <x v="1106"/>
              <x v="1107"/>
              <x v="1108"/>
              <x v="1109"/>
              <x v="1110"/>
              <x v="1111"/>
              <x v="1112"/>
              <x v="1113"/>
              <x v="1114"/>
              <x v="1115"/>
              <x v="1116"/>
              <x v="1117"/>
              <x v="1118"/>
              <x v="1119"/>
              <x v="1120"/>
              <x v="1121"/>
              <x v="1122"/>
              <x v="1123"/>
              <x v="1124"/>
              <x v="1125"/>
              <x v="1126"/>
              <x v="1127"/>
              <x v="1128"/>
              <x v="1129"/>
              <x v="1130"/>
              <x v="1131"/>
              <x v="1132"/>
              <x v="1133"/>
              <x v="1134"/>
              <x v="1135"/>
              <x v="1136"/>
              <x v="1137"/>
              <x v="1138"/>
              <x v="1139"/>
              <x v="1140"/>
              <x v="1141"/>
              <x v="1142"/>
              <x v="1143"/>
              <x v="1144"/>
              <x v="1145"/>
              <x v="1146"/>
              <x v="1147"/>
              <x v="1148"/>
              <x v="1149"/>
              <x v="1150"/>
              <x v="1151"/>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2" adjustColumnWidth="0" connectionId="1" autoFormatId="16" applyNumberFormats="0" applyBorderFormats="0" applyFontFormats="0" applyPatternFormats="0" applyAlignmentFormats="0" applyWidthHeightFormats="0">
  <queryTableRefresh nextId="26">
    <queryTableFields count="25">
      <queryTableField id="1" name="ARCo" tableColumnId="1"/>
      <queryTableField id="2" name="GLDept# " tableColumnId="2"/>
      <queryTableField id="3" name="GLDeptName" tableColumnId="3"/>
      <queryTableField id="4" name="POCName" tableColumnId="4"/>
      <queryTableField id="5" name="ProjectManagers" tableColumnId="5"/>
      <queryTableField id="6" name="ContractDesc" tableColumnId="6"/>
      <queryTableField id="7" name="CustomerName" tableColumnId="7"/>
      <queryTableField id="8" name="Customer#" tableColumnId="8"/>
      <queryTableField id="9" name="Contract#" tableColumnId="9"/>
      <queryTableField id="10" name="Invoice#" tableColumnId="10"/>
      <queryTableField id="11" name="InvoiceDate" tableColumnId="11"/>
      <queryTableField id="12" name="DueDate" tableColumnId="12"/>
      <queryTableField id="13" name="TotalInvoiced" tableColumnId="13"/>
      <queryTableField id="14" name="DaysPastDue" tableColumnId="14"/>
      <queryTableField id="15" name="Current" tableColumnId="15"/>
      <queryTableField id="16" name="Aged1to30" tableColumnId="16"/>
      <queryTableField id="17" name="Aged31to60" tableColumnId="17"/>
      <queryTableField id="18" name="Aged61to90" tableColumnId="18"/>
      <queryTableField id="19" name="AgedOver90" tableColumnId="19"/>
      <queryTableField id="20" name="TotalAged" tableColumnId="20"/>
      <queryTableField id="21" name="Retainage" tableColumnId="21"/>
      <queryTableField id="22" name="Paid" tableColumnId="22"/>
      <queryTableField id="23" name="CollectionNotes" tableColumnId="23"/>
      <queryTableField id="24" name="FinancialPeriod" tableColumnId="24"/>
      <queryTableField id="25" name="AsOfDate"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2" name="Table_ExternalData_2" displayName="Table_ExternalData_2" ref="A9:Y11" tableType="queryTable" insertRow="1" totalsRowCount="1" headerRowDxfId="206" dataDxfId="205" totalsRowDxfId="204">
  <autoFilter ref="A9:Y10"/>
  <tableColumns count="25">
    <tableColumn id="1" uniqueName="1" name="ARCo" totalsRowLabel="Totals" queryTableFieldId="1" dataDxfId="24" totalsRowDxfId="25"/>
    <tableColumn id="2" uniqueName="2" name="GLDept# " queryTableFieldId="2" dataDxfId="23" totalsRowDxfId="26"/>
    <tableColumn id="3" uniqueName="3" name="GLDeptName" queryTableFieldId="3" dataDxfId="22" totalsRowDxfId="27"/>
    <tableColumn id="4" uniqueName="4" name="POCName" queryTableFieldId="4" dataDxfId="21" totalsRowDxfId="28"/>
    <tableColumn id="5" uniqueName="5" name="ProjectManagers" queryTableFieldId="5" dataDxfId="20" totalsRowDxfId="29"/>
    <tableColumn id="6" uniqueName="6" name="ContractDesc" queryTableFieldId="6" dataDxfId="19" totalsRowDxfId="30"/>
    <tableColumn id="7" uniqueName="7" name="CustomerName" queryTableFieldId="7" dataDxfId="18" totalsRowDxfId="31"/>
    <tableColumn id="8" uniqueName="8" name="Customer#" queryTableFieldId="8" dataDxfId="17" totalsRowDxfId="32"/>
    <tableColumn id="9" uniqueName="9" name="Contract#" queryTableFieldId="9" dataDxfId="16" totalsRowDxfId="33"/>
    <tableColumn id="10" uniqueName="10" name="Invoice#" queryTableFieldId="10" dataDxfId="15" totalsRowDxfId="34"/>
    <tableColumn id="11" uniqueName="11" name="InvoiceDate" queryTableFieldId="11" dataDxfId="14" totalsRowDxfId="35"/>
    <tableColumn id="12" uniqueName="12" name="DueDate" queryTableFieldId="12" dataDxfId="13" totalsRowDxfId="36"/>
    <tableColumn id="13" uniqueName="13" name="TotalInvoiced" totalsRowFunction="sum" queryTableFieldId="13" dataDxfId="12" totalsRowDxfId="37"/>
    <tableColumn id="14" uniqueName="14" name="DaysPastDue" queryTableFieldId="14" dataDxfId="11" totalsRowDxfId="38"/>
    <tableColumn id="15" uniqueName="15" name="Current" totalsRowFunction="sum" queryTableFieldId="15" dataDxfId="10" totalsRowDxfId="39"/>
    <tableColumn id="16" uniqueName="16" name="Aged1to30" totalsRowFunction="sum" queryTableFieldId="16" dataDxfId="9" totalsRowDxfId="40"/>
    <tableColumn id="17" uniqueName="17" name="Aged31to60" totalsRowFunction="sum" queryTableFieldId="17" dataDxfId="8" totalsRowDxfId="41"/>
    <tableColumn id="18" uniqueName="18" name="Aged61to90" totalsRowFunction="sum" queryTableFieldId="18" dataDxfId="7" totalsRowDxfId="42"/>
    <tableColumn id="19" uniqueName="19" name="AgedOver90" totalsRowFunction="sum" queryTableFieldId="19" dataDxfId="6" totalsRowDxfId="43"/>
    <tableColumn id="20" uniqueName="20" name="TotalAged" totalsRowFunction="sum" queryTableFieldId="20" dataDxfId="5" totalsRowDxfId="44"/>
    <tableColumn id="21" uniqueName="21" name="Retainage" totalsRowFunction="sum" queryTableFieldId="21" dataDxfId="4" totalsRowDxfId="45"/>
    <tableColumn id="22" uniqueName="22" name="Paid" totalsRowFunction="sum" queryTableFieldId="22" dataDxfId="3" totalsRowDxfId="46"/>
    <tableColumn id="23" uniqueName="23" name="CollectionNotes" queryTableFieldId="23" dataDxfId="2" totalsRowDxfId="47"/>
    <tableColumn id="24" uniqueName="24" name="FinancialPeriod" queryTableFieldId="24" dataDxfId="1" totalsRowDxfId="48"/>
    <tableColumn id="25" uniqueName="25" name="AsOfDate" queryTableFieldId="25" dataDxfId="0" totalsRowDxfId="49"/>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ivotTable" Target="../pivotTables/pivotTable1.xml"/><Relationship Id="rId5" Type="http://schemas.openxmlformats.org/officeDocument/2006/relationships/image" Target="../media/image4.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ivotTable" Target="../pivotTables/pivotTable2.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ivotTable" Target="../pivotTables/pivotTable3.xml"/><Relationship Id="rId5" Type="http://schemas.openxmlformats.org/officeDocument/2006/relationships/image" Target="../media/image6.emf"/><Relationship Id="rId4" Type="http://schemas.openxmlformats.org/officeDocument/2006/relationships/control" Target="../activeX/activeX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Overview"/>
  <dimension ref="B1:K41"/>
  <sheetViews>
    <sheetView showGridLines="0" tabSelected="1" workbookViewId="0">
      <selection activeCell="E6" sqref="E6"/>
    </sheetView>
  </sheetViews>
  <sheetFormatPr defaultRowHeight="12" x14ac:dyDescent="0.2"/>
  <cols>
    <col min="2" max="2" width="2" customWidth="1"/>
    <col min="3" max="3" width="35.33203125" customWidth="1"/>
    <col min="4" max="4" width="20.1640625" customWidth="1"/>
    <col min="5" max="5" width="18.1640625" customWidth="1"/>
    <col min="6" max="6" width="3.6640625" customWidth="1"/>
    <col min="7" max="7" width="2.5" customWidth="1"/>
    <col min="8" max="8" width="3.6640625" customWidth="1"/>
    <col min="9" max="9" width="13.33203125" customWidth="1"/>
    <col min="10" max="10" width="23.33203125" customWidth="1"/>
    <col min="11" max="11" width="11.6640625" customWidth="1"/>
    <col min="12" max="12" width="3.33203125" customWidth="1"/>
    <col min="13" max="13" width="21.1640625" customWidth="1"/>
  </cols>
  <sheetData>
    <row r="1" spans="2:11" ht="12.75" thickBot="1" x14ac:dyDescent="0.25"/>
    <row r="2" spans="2:11" x14ac:dyDescent="0.2">
      <c r="B2" s="17"/>
      <c r="C2" s="18"/>
      <c r="D2" s="18"/>
      <c r="E2" s="18"/>
      <c r="F2" s="18"/>
      <c r="G2" s="19"/>
      <c r="J2" s="33" t="s">
        <v>26</v>
      </c>
    </row>
    <row r="3" spans="2:11" ht="23.25" x14ac:dyDescent="0.35">
      <c r="B3" s="20"/>
      <c r="C3" s="82" t="s">
        <v>27</v>
      </c>
      <c r="D3" s="82"/>
      <c r="E3" s="82"/>
      <c r="F3" s="82"/>
      <c r="G3" s="13"/>
    </row>
    <row r="4" spans="2:11" ht="9" customHeight="1" thickBot="1" x14ac:dyDescent="0.45">
      <c r="B4" s="20"/>
      <c r="C4" s="8"/>
      <c r="D4" s="8"/>
      <c r="E4" s="8"/>
      <c r="F4" s="8"/>
      <c r="G4" s="13"/>
    </row>
    <row r="5" spans="2:11" ht="7.5" customHeight="1" x14ac:dyDescent="0.4">
      <c r="B5" s="20"/>
      <c r="C5" s="8"/>
      <c r="D5" s="9"/>
      <c r="E5" s="10"/>
      <c r="F5" s="11"/>
      <c r="G5" s="13"/>
    </row>
    <row r="6" spans="2:11" ht="15" x14ac:dyDescent="0.25">
      <c r="B6" s="20"/>
      <c r="C6" s="21"/>
      <c r="D6" s="12" t="s">
        <v>8</v>
      </c>
      <c r="E6" s="38">
        <f ca="1">EOMONTH(NOW(),-1)+1</f>
        <v>42309</v>
      </c>
      <c r="F6" s="13"/>
      <c r="G6" s="13"/>
      <c r="I6" s="40" t="str">
        <f>Table_ExternalData_2[[#Headers],[Current]]</f>
        <v>Current</v>
      </c>
      <c r="J6" s="23">
        <f>Table_ExternalData_2[[#Totals],[Current]]</f>
        <v>0</v>
      </c>
      <c r="K6" s="5" t="e">
        <f>J6/$J$13</f>
        <v>#DIV/0!</v>
      </c>
    </row>
    <row r="7" spans="2:11" ht="15" x14ac:dyDescent="0.25">
      <c r="B7" s="20"/>
      <c r="C7" s="21"/>
      <c r="D7" s="12" t="s">
        <v>9</v>
      </c>
      <c r="E7" s="6" t="s">
        <v>13</v>
      </c>
      <c r="F7" s="13"/>
      <c r="G7" s="13"/>
      <c r="I7" s="40" t="str">
        <f>Table_ExternalData_2[[#Headers],[Aged1to30]]</f>
        <v>Aged1to30</v>
      </c>
      <c r="J7" s="24">
        <f>Table_ExternalData_2[[#Totals],[Aged1to30]]</f>
        <v>0</v>
      </c>
      <c r="K7" s="5" t="e">
        <f>J7/$J$13</f>
        <v>#DIV/0!</v>
      </c>
    </row>
    <row r="8" spans="2:11" ht="15" x14ac:dyDescent="0.25">
      <c r="B8" s="20"/>
      <c r="C8" s="21"/>
      <c r="D8" s="12" t="s">
        <v>2</v>
      </c>
      <c r="E8" s="6" t="s">
        <v>13</v>
      </c>
      <c r="F8" s="13"/>
      <c r="G8" s="13"/>
      <c r="I8" s="40" t="str">
        <f>Table_ExternalData_2[[#Headers],[Aged31to60]]</f>
        <v>Aged31to60</v>
      </c>
      <c r="J8" s="41">
        <f>Table_ExternalData_2[[#Totals],[Aged31to60]]</f>
        <v>0</v>
      </c>
      <c r="K8" s="5" t="e">
        <f>J8/$J$13</f>
        <v>#DIV/0!</v>
      </c>
    </row>
    <row r="9" spans="2:11" ht="15" x14ac:dyDescent="0.25">
      <c r="B9" s="20"/>
      <c r="C9" s="21"/>
      <c r="D9" s="12" t="s">
        <v>10</v>
      </c>
      <c r="E9" s="6" t="s">
        <v>13</v>
      </c>
      <c r="F9" s="13"/>
      <c r="G9" s="13"/>
      <c r="I9" s="40" t="str">
        <f>Table_ExternalData_2[[#Headers],[Aged61to90]]</f>
        <v>Aged61to90</v>
      </c>
      <c r="J9" s="25">
        <f>Table_ExternalData_2[[#Totals],[Aged61to90]]</f>
        <v>0</v>
      </c>
      <c r="K9" s="5" t="e">
        <f>J9/$J$13</f>
        <v>#DIV/0!</v>
      </c>
    </row>
    <row r="10" spans="2:11" ht="15" x14ac:dyDescent="0.25">
      <c r="B10" s="20"/>
      <c r="C10" s="21"/>
      <c r="D10" s="12" t="s">
        <v>3</v>
      </c>
      <c r="E10" s="7"/>
      <c r="F10" s="13"/>
      <c r="G10" s="13"/>
      <c r="I10" s="40" t="str">
        <f>Table_ExternalData_2[[#Headers],[AgedOver90]]</f>
        <v>AgedOver90</v>
      </c>
      <c r="J10" s="26">
        <f>Table_ExternalData_2[[#Totals],[AgedOver90]]</f>
        <v>0</v>
      </c>
      <c r="K10" s="5" t="e">
        <f>J10/$J$13</f>
        <v>#DIV/0!</v>
      </c>
    </row>
    <row r="11" spans="2:11" ht="15" x14ac:dyDescent="0.25">
      <c r="B11" s="20"/>
      <c r="C11" s="21"/>
      <c r="D11" s="12" t="s">
        <v>11</v>
      </c>
      <c r="E11" s="7" t="s">
        <v>13</v>
      </c>
      <c r="F11" s="13"/>
      <c r="G11" s="13"/>
      <c r="I11" s="39"/>
      <c r="J11" s="43"/>
      <c r="K11" s="39"/>
    </row>
    <row r="12" spans="2:11" ht="15" x14ac:dyDescent="0.25">
      <c r="B12" s="20"/>
      <c r="C12" s="21"/>
      <c r="D12" s="12"/>
      <c r="E12" s="22"/>
      <c r="F12" s="13"/>
      <c r="G12" s="13"/>
      <c r="I12" s="40" t="str">
        <f>Table_ExternalData_2[[#Headers],[Retainage]]</f>
        <v>Retainage</v>
      </c>
      <c r="J12" s="44">
        <f>Table_ExternalData_2[[#Totals],[Retainage]]</f>
        <v>0</v>
      </c>
      <c r="K12" s="39"/>
    </row>
    <row r="13" spans="2:11" ht="15" x14ac:dyDescent="0.25">
      <c r="B13" s="20"/>
      <c r="C13" s="21"/>
      <c r="D13" s="12"/>
      <c r="E13" s="22"/>
      <c r="F13" s="13"/>
      <c r="G13" s="13"/>
      <c r="I13" s="40" t="str">
        <f>Table_ExternalData_2[[#Headers],[TotalAged]]</f>
        <v>TotalAged</v>
      </c>
      <c r="J13" s="42">
        <f>Table_ExternalData_2[[#Totals],[TotalAged]]</f>
        <v>0</v>
      </c>
      <c r="K13" s="5" t="e">
        <f>J13/$J$13</f>
        <v>#DIV/0!</v>
      </c>
    </row>
    <row r="14" spans="2:11" ht="20.25" customHeight="1" thickBot="1" x14ac:dyDescent="0.25">
      <c r="B14" s="20"/>
      <c r="C14" s="21"/>
      <c r="D14" s="37" t="s">
        <v>36</v>
      </c>
      <c r="E14" s="36">
        <f>MIN(Table_ExternalData_2[AsOfDate])</f>
        <v>0</v>
      </c>
      <c r="F14" s="16"/>
      <c r="G14" s="13"/>
    </row>
    <row r="15" spans="2:11" ht="12.75" thickBot="1" x14ac:dyDescent="0.25">
      <c r="B15" s="14"/>
      <c r="C15" s="15"/>
      <c r="D15" s="15"/>
      <c r="E15" s="15"/>
      <c r="F15" s="15"/>
      <c r="G15" s="16"/>
    </row>
    <row r="17" spans="2:7" ht="12.75" thickBot="1" x14ac:dyDescent="0.25"/>
    <row r="18" spans="2:7" ht="12.75" customHeight="1" thickTop="1" x14ac:dyDescent="0.2">
      <c r="B18" s="46"/>
      <c r="C18" s="83" t="s">
        <v>39</v>
      </c>
      <c r="D18" s="83"/>
      <c r="E18" s="83"/>
      <c r="F18" s="83"/>
      <c r="G18" s="47"/>
    </row>
    <row r="19" spans="2:7" ht="12" customHeight="1" x14ac:dyDescent="0.2">
      <c r="B19" s="48"/>
      <c r="C19" s="84"/>
      <c r="D19" s="84"/>
      <c r="E19" s="84"/>
      <c r="F19" s="84"/>
      <c r="G19" s="49"/>
    </row>
    <row r="20" spans="2:7" ht="15.75" x14ac:dyDescent="0.25">
      <c r="B20" s="52"/>
      <c r="C20" s="53"/>
      <c r="D20" s="53"/>
      <c r="E20" s="53"/>
      <c r="F20" s="53"/>
      <c r="G20" s="54"/>
    </row>
    <row r="21" spans="2:7" ht="12" customHeight="1" x14ac:dyDescent="0.2">
      <c r="B21" s="52"/>
      <c r="C21" s="100" t="s">
        <v>44</v>
      </c>
      <c r="D21" s="100"/>
      <c r="E21" s="100"/>
      <c r="F21" s="100"/>
      <c r="G21" s="55"/>
    </row>
    <row r="22" spans="2:7" x14ac:dyDescent="0.2">
      <c r="B22" s="56"/>
      <c r="C22" s="100"/>
      <c r="D22" s="100"/>
      <c r="E22" s="100"/>
      <c r="F22" s="100"/>
      <c r="G22" s="55"/>
    </row>
    <row r="23" spans="2:7" ht="12" customHeight="1" x14ac:dyDescent="0.2">
      <c r="B23" s="56"/>
      <c r="C23" s="100"/>
      <c r="D23" s="100"/>
      <c r="E23" s="100"/>
      <c r="F23" s="100"/>
      <c r="G23" s="55"/>
    </row>
    <row r="24" spans="2:7" x14ac:dyDescent="0.2">
      <c r="B24" s="56"/>
      <c r="C24" s="100"/>
      <c r="D24" s="100"/>
      <c r="E24" s="100"/>
      <c r="F24" s="100"/>
      <c r="G24" s="55"/>
    </row>
    <row r="25" spans="2:7" ht="12" customHeight="1" x14ac:dyDescent="0.2">
      <c r="B25" s="56"/>
      <c r="C25" s="100"/>
      <c r="D25" s="100"/>
      <c r="E25" s="100"/>
      <c r="F25" s="100"/>
      <c r="G25" s="55"/>
    </row>
    <row r="26" spans="2:7" x14ac:dyDescent="0.2">
      <c r="B26" s="57"/>
      <c r="C26" s="58"/>
      <c r="D26" s="58"/>
      <c r="E26" s="58"/>
      <c r="F26" s="58"/>
      <c r="G26" s="59"/>
    </row>
    <row r="27" spans="2:7" ht="12" customHeight="1" x14ac:dyDescent="0.2">
      <c r="B27" s="85" t="s">
        <v>17</v>
      </c>
      <c r="C27" s="86"/>
      <c r="D27" s="89" t="s">
        <v>45</v>
      </c>
      <c r="E27" s="90"/>
      <c r="F27" s="90"/>
      <c r="G27" s="91"/>
    </row>
    <row r="28" spans="2:7" ht="27" customHeight="1" x14ac:dyDescent="0.2">
      <c r="B28" s="87"/>
      <c r="C28" s="88"/>
      <c r="D28" s="92"/>
      <c r="E28" s="93"/>
      <c r="F28" s="93"/>
      <c r="G28" s="94"/>
    </row>
    <row r="29" spans="2:7" ht="12" customHeight="1" x14ac:dyDescent="0.2">
      <c r="B29" s="85" t="s">
        <v>40</v>
      </c>
      <c r="C29" s="86"/>
      <c r="D29" s="89" t="s">
        <v>46</v>
      </c>
      <c r="E29" s="90"/>
      <c r="F29" s="90"/>
      <c r="G29" s="91"/>
    </row>
    <row r="30" spans="2:7" ht="15" customHeight="1" x14ac:dyDescent="0.2">
      <c r="B30" s="87"/>
      <c r="C30" s="88"/>
      <c r="D30" s="92"/>
      <c r="E30" s="93"/>
      <c r="F30" s="93"/>
      <c r="G30" s="94"/>
    </row>
    <row r="31" spans="2:7" ht="12" customHeight="1" x14ac:dyDescent="0.2">
      <c r="B31" s="85" t="s">
        <v>41</v>
      </c>
      <c r="C31" s="86"/>
      <c r="D31" s="89" t="s">
        <v>47</v>
      </c>
      <c r="E31" s="90"/>
      <c r="F31" s="90"/>
      <c r="G31" s="91"/>
    </row>
    <row r="32" spans="2:7" ht="15" customHeight="1" x14ac:dyDescent="0.2">
      <c r="B32" s="87"/>
      <c r="C32" s="88"/>
      <c r="D32" s="92"/>
      <c r="E32" s="93"/>
      <c r="F32" s="93"/>
      <c r="G32" s="94"/>
    </row>
    <row r="33" spans="2:7" ht="12" customHeight="1" x14ac:dyDescent="0.2">
      <c r="B33" s="85" t="s">
        <v>42</v>
      </c>
      <c r="C33" s="86"/>
      <c r="D33" s="89" t="s">
        <v>48</v>
      </c>
      <c r="E33" s="90"/>
      <c r="F33" s="90"/>
      <c r="G33" s="91"/>
    </row>
    <row r="34" spans="2:7" ht="16.5" customHeight="1" x14ac:dyDescent="0.2">
      <c r="B34" s="87"/>
      <c r="C34" s="88"/>
      <c r="D34" s="92"/>
      <c r="E34" s="93"/>
      <c r="F34" s="93"/>
      <c r="G34" s="94"/>
    </row>
    <row r="35" spans="2:7" x14ac:dyDescent="0.2">
      <c r="B35" s="85" t="s">
        <v>43</v>
      </c>
      <c r="C35" s="86"/>
      <c r="D35" s="89" t="s">
        <v>49</v>
      </c>
      <c r="E35" s="90"/>
      <c r="F35" s="90"/>
      <c r="G35" s="91"/>
    </row>
    <row r="36" spans="2:7" ht="17.25" customHeight="1" x14ac:dyDescent="0.2">
      <c r="B36" s="87"/>
      <c r="C36" s="88"/>
      <c r="D36" s="92"/>
      <c r="E36" s="93"/>
      <c r="F36" s="93"/>
      <c r="G36" s="94"/>
    </row>
    <row r="37" spans="2:7" x14ac:dyDescent="0.2">
      <c r="B37" s="85" t="s">
        <v>5</v>
      </c>
      <c r="C37" s="86"/>
      <c r="D37" s="89" t="s">
        <v>50</v>
      </c>
      <c r="E37" s="90"/>
      <c r="F37" s="90"/>
      <c r="G37" s="91"/>
    </row>
    <row r="38" spans="2:7" ht="15.75" customHeight="1" x14ac:dyDescent="0.2">
      <c r="B38" s="87"/>
      <c r="C38" s="88"/>
      <c r="D38" s="92"/>
      <c r="E38" s="93"/>
      <c r="F38" s="93"/>
      <c r="G38" s="94"/>
    </row>
    <row r="39" spans="2:7" x14ac:dyDescent="0.2">
      <c r="B39" s="85" t="s">
        <v>4</v>
      </c>
      <c r="C39" s="86"/>
      <c r="D39" s="89" t="s">
        <v>51</v>
      </c>
      <c r="E39" s="90"/>
      <c r="F39" s="90"/>
      <c r="G39" s="91"/>
    </row>
    <row r="40" spans="2:7" ht="28.5" customHeight="1" thickBot="1" x14ac:dyDescent="0.25">
      <c r="B40" s="95"/>
      <c r="C40" s="96"/>
      <c r="D40" s="97"/>
      <c r="E40" s="98"/>
      <c r="F40" s="98"/>
      <c r="G40" s="99"/>
    </row>
    <row r="41" spans="2:7" ht="12.75" thickTop="1" x14ac:dyDescent="0.2"/>
  </sheetData>
  <sheetProtection formatCells="0" formatColumns="0" formatRows="0" selectLockedCells="1" sort="0" autoFilter="0" pivotTables="0"/>
  <dataConsolidate/>
  <mergeCells count="17">
    <mergeCell ref="B39:C40"/>
    <mergeCell ref="D39:G40"/>
    <mergeCell ref="D31:G32"/>
    <mergeCell ref="C21:F25"/>
    <mergeCell ref="B35:C36"/>
    <mergeCell ref="D35:G36"/>
    <mergeCell ref="B37:C38"/>
    <mergeCell ref="D37:G38"/>
    <mergeCell ref="C3:F3"/>
    <mergeCell ref="C18:F19"/>
    <mergeCell ref="B33:C34"/>
    <mergeCell ref="D33:G34"/>
    <mergeCell ref="B27:C28"/>
    <mergeCell ref="D27:G28"/>
    <mergeCell ref="B29:C30"/>
    <mergeCell ref="D29:G30"/>
    <mergeCell ref="B31:C32"/>
  </mergeCells>
  <pageMargins left="0.7" right="0.7" top="0.75" bottom="0.75" header="0.3" footer="0.3"/>
  <pageSetup orientation="portrait" r:id="rId1"/>
  <drawing r:id="rId2"/>
  <legacyDrawing r:id="rId3"/>
  <controls>
    <mc:AlternateContent xmlns:mc="http://schemas.openxmlformats.org/markup-compatibility/2006">
      <mc:Choice Requires="x14">
        <control shapeId="3074" r:id="rId4" name="btnRefresh">
          <controlPr locked="0" defaultSize="0" autoLine="0" r:id="rId5">
            <anchor moveWithCells="1">
              <from>
                <xdr:col>4</xdr:col>
                <xdr:colOff>9525</xdr:colOff>
                <xdr:row>11</xdr:row>
                <xdr:rowOff>85725</xdr:rowOff>
              </from>
              <to>
                <xdr:col>5</xdr:col>
                <xdr:colOff>38100</xdr:colOff>
                <xdr:row>13</xdr:row>
                <xdr:rowOff>57150</xdr:rowOff>
              </to>
            </anchor>
          </controlPr>
        </control>
      </mc:Choice>
      <mc:Fallback>
        <control shapeId="3074" r:id="rId4" name="btn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ARSummary1"/>
  <dimension ref="A1:AU11"/>
  <sheetViews>
    <sheetView showGridLines="0" workbookViewId="0">
      <pane ySplit="9" topLeftCell="A10" activePane="bottomLeft" state="frozen"/>
      <selection pane="bottomLeft" activeCell="A10" sqref="A10"/>
    </sheetView>
  </sheetViews>
  <sheetFormatPr defaultColWidth="13.83203125" defaultRowHeight="12" x14ac:dyDescent="0.2"/>
  <cols>
    <col min="1" max="2" width="13.83203125" style="1" customWidth="1"/>
    <col min="3" max="3" width="13.83203125" customWidth="1"/>
    <col min="4" max="6" width="13.83203125" style="1" customWidth="1"/>
    <col min="7" max="7" width="22.33203125" style="1" customWidth="1"/>
    <col min="8" max="9" width="13.83203125" style="1" customWidth="1"/>
    <col min="10" max="10" width="18.1640625" style="1" customWidth="1"/>
    <col min="11" max="14" width="13.83203125" style="1" customWidth="1"/>
    <col min="15" max="21" width="13.83203125" customWidth="1"/>
    <col min="22" max="22" width="16" customWidth="1"/>
    <col min="23" max="23" width="115.33203125" customWidth="1"/>
    <col min="24" max="25" width="13.83203125" hidden="1" customWidth="1"/>
    <col min="27" max="46" width="13.83203125" style="1"/>
    <col min="48" max="16384" width="13.83203125" style="1"/>
  </cols>
  <sheetData>
    <row r="1" spans="1:47" ht="26.25" x14ac:dyDescent="0.4">
      <c r="C1" s="101" t="str">
        <f>Overview!C3</f>
        <v>Accounts Receivable Collections Worksheet</v>
      </c>
      <c r="D1" s="101"/>
      <c r="E1" s="101"/>
      <c r="F1" s="101"/>
      <c r="G1" s="101"/>
      <c r="H1" s="101"/>
      <c r="I1" s="29"/>
      <c r="M1"/>
      <c r="N1"/>
      <c r="Q1" s="1"/>
      <c r="R1" s="1"/>
      <c r="S1" s="1"/>
      <c r="T1" s="1"/>
      <c r="U1" s="1"/>
      <c r="V1" s="1"/>
      <c r="W1" s="1"/>
      <c r="X1" s="1"/>
      <c r="Y1" s="1"/>
      <c r="Z1" s="1"/>
      <c r="AS1"/>
      <c r="AU1" s="1"/>
    </row>
    <row r="2" spans="1:47" ht="12.75" thickBot="1" x14ac:dyDescent="0.25">
      <c r="C2" s="1"/>
      <c r="G2" s="51" t="s">
        <v>36</v>
      </c>
      <c r="H2" s="61">
        <f>MIN(Table_ExternalData_2[AsOfDate])</f>
        <v>0</v>
      </c>
      <c r="I2" s="40" t="str">
        <f>Table_ExternalData_2[[#Headers],[Current]]</f>
        <v>Current</v>
      </c>
      <c r="J2" s="23">
        <f>Table_ExternalData_2[[#Totals],[Current]]</f>
        <v>0</v>
      </c>
      <c r="K2" s="5" t="e">
        <f>J2/$J$7</f>
        <v>#DIV/0!</v>
      </c>
      <c r="M2"/>
      <c r="N2"/>
      <c r="Q2" s="1"/>
      <c r="R2" s="1"/>
      <c r="S2" s="1"/>
      <c r="T2" s="1"/>
      <c r="U2" s="1"/>
      <c r="V2" s="1"/>
      <c r="W2" s="1"/>
      <c r="X2" s="1"/>
      <c r="Y2" s="1"/>
      <c r="Z2" s="1"/>
      <c r="AS2"/>
      <c r="AU2" s="1"/>
    </row>
    <row r="3" spans="1:47" x14ac:dyDescent="0.2">
      <c r="C3" s="27" t="s">
        <v>12</v>
      </c>
      <c r="D3" s="27" t="s">
        <v>9</v>
      </c>
      <c r="E3" s="27" t="s">
        <v>2</v>
      </c>
      <c r="F3" s="27" t="s">
        <v>10</v>
      </c>
      <c r="G3" s="50" t="s">
        <v>3</v>
      </c>
      <c r="H3" s="27" t="s">
        <v>11</v>
      </c>
      <c r="I3" s="40" t="str">
        <f>Table_ExternalData_2[[#Headers],[Aged1to30]]</f>
        <v>Aged1to30</v>
      </c>
      <c r="J3" s="24">
        <f>Table_ExternalData_2[[#Totals],[Aged1to30]]</f>
        <v>0</v>
      </c>
      <c r="K3" s="5" t="e">
        <f t="shared" ref="K3:K7" si="0">J3/$J$7</f>
        <v>#DIV/0!</v>
      </c>
      <c r="O3" s="1"/>
      <c r="P3" s="1"/>
      <c r="Q3" s="1"/>
      <c r="R3" s="1"/>
      <c r="S3" s="1"/>
      <c r="T3" s="1"/>
      <c r="U3" s="1"/>
      <c r="V3" s="1"/>
      <c r="W3" s="1"/>
      <c r="X3" s="1"/>
      <c r="Y3" s="1"/>
      <c r="Z3" s="1"/>
      <c r="AS3"/>
      <c r="AU3" s="1"/>
    </row>
    <row r="4" spans="1:47" ht="12.75" x14ac:dyDescent="0.2">
      <c r="C4" s="45">
        <f ca="1">IF(paramShapshotMonth=0,"",paramShapshotMonth)</f>
        <v>42309</v>
      </c>
      <c r="D4" s="28" t="str">
        <f>IF(paramCompany=0,"",paramCompany)</f>
        <v/>
      </c>
      <c r="E4" s="28" t="str">
        <f>IF(paramCustomer=0,"",paramCustomer)</f>
        <v/>
      </c>
      <c r="F4" s="28" t="str">
        <f>IF(paramContract=0,"",paramContract)</f>
        <v/>
      </c>
      <c r="G4" s="28" t="str">
        <f>IF(paramInvoice=0,"",paramInvoice)</f>
        <v/>
      </c>
      <c r="H4" s="28" t="str">
        <f>IF(paramDepartment=0,"",paramDepartment)</f>
        <v/>
      </c>
      <c r="I4" s="40" t="str">
        <f>Table_ExternalData_2[[#Headers],[Aged31to60]]</f>
        <v>Aged31to60</v>
      </c>
      <c r="J4" s="41">
        <f>Table_ExternalData_2[[#Totals],[Aged31to60]]</f>
        <v>0</v>
      </c>
      <c r="K4" s="5" t="e">
        <f t="shared" si="0"/>
        <v>#DIV/0!</v>
      </c>
      <c r="O4" s="1"/>
      <c r="P4" s="1"/>
      <c r="Q4" s="1"/>
      <c r="R4" s="1"/>
      <c r="S4" s="1"/>
      <c r="T4" s="1"/>
      <c r="U4" s="1"/>
      <c r="V4" s="1"/>
      <c r="W4" s="1"/>
      <c r="X4" s="1"/>
      <c r="Y4" s="1"/>
      <c r="Z4" s="1"/>
      <c r="AS4"/>
      <c r="AU4" s="1"/>
    </row>
    <row r="5" spans="1:47" x14ac:dyDescent="0.2">
      <c r="C5" s="1"/>
      <c r="G5" s="3"/>
      <c r="I5" s="40" t="str">
        <f>Table_ExternalData_2[[#Headers],[Aged61to90]]</f>
        <v>Aged61to90</v>
      </c>
      <c r="J5" s="25">
        <f>Table_ExternalData_2[[#Totals],[Aged61to90]]</f>
        <v>0</v>
      </c>
      <c r="K5" s="5" t="e">
        <f t="shared" si="0"/>
        <v>#DIV/0!</v>
      </c>
      <c r="O5" s="1"/>
      <c r="P5" s="1"/>
      <c r="Q5" s="1"/>
      <c r="R5" s="1"/>
      <c r="S5" s="1"/>
      <c r="T5" s="1"/>
      <c r="U5" s="1"/>
      <c r="V5" s="1"/>
      <c r="W5" s="1"/>
      <c r="X5" s="1"/>
      <c r="Y5" s="1"/>
      <c r="Z5" s="1"/>
      <c r="AT5"/>
      <c r="AU5" s="1"/>
    </row>
    <row r="6" spans="1:47" x14ac:dyDescent="0.2">
      <c r="C6" s="1"/>
      <c r="D6" s="2"/>
      <c r="E6" s="4"/>
      <c r="I6" s="40" t="str">
        <f>Table_ExternalData_2[[#Headers],[AgedOver90]]</f>
        <v>AgedOver90</v>
      </c>
      <c r="J6" s="26">
        <f>Table_ExternalData_2[[#Totals],[AgedOver90]]</f>
        <v>0</v>
      </c>
      <c r="K6" s="5" t="e">
        <f t="shared" si="0"/>
        <v>#DIV/0!</v>
      </c>
      <c r="O6" s="1"/>
      <c r="P6" s="1"/>
      <c r="Q6" s="1"/>
      <c r="R6" s="1"/>
      <c r="S6" s="1"/>
      <c r="T6" s="1"/>
      <c r="U6" s="1"/>
      <c r="V6" s="1"/>
      <c r="W6" s="1"/>
      <c r="X6" s="1"/>
      <c r="Y6" s="1"/>
      <c r="Z6" s="1"/>
      <c r="AT6"/>
      <c r="AU6" s="1"/>
    </row>
    <row r="7" spans="1:47" ht="15" x14ac:dyDescent="0.25">
      <c r="C7" s="1"/>
      <c r="D7" s="30"/>
      <c r="E7" s="31"/>
      <c r="I7" s="40" t="str">
        <f>Table_ExternalData_2[[#Headers],[TotalAged]]</f>
        <v>TotalAged</v>
      </c>
      <c r="J7" s="42">
        <f>Table_ExternalData_2[[#Totals],[TotalAged]]</f>
        <v>0</v>
      </c>
      <c r="K7" s="5" t="e">
        <f t="shared" si="0"/>
        <v>#DIV/0!</v>
      </c>
      <c r="O7" s="1"/>
      <c r="P7" s="1"/>
      <c r="Q7" s="1"/>
      <c r="R7" s="1"/>
      <c r="S7" s="1"/>
      <c r="T7" s="1"/>
      <c r="U7" s="1"/>
      <c r="V7" s="1"/>
      <c r="W7" s="1"/>
      <c r="X7" s="1"/>
      <c r="Y7" s="1"/>
      <c r="Z7" s="1"/>
      <c r="AT7"/>
      <c r="AU7" s="1"/>
    </row>
    <row r="8" spans="1:47" x14ac:dyDescent="0.2">
      <c r="O8" s="1"/>
      <c r="P8" s="1"/>
      <c r="Q8" s="1"/>
      <c r="R8" s="1"/>
      <c r="S8" s="1"/>
      <c r="T8" s="1"/>
      <c r="U8" s="1"/>
      <c r="V8" s="1"/>
      <c r="W8" s="1"/>
      <c r="X8" s="1"/>
      <c r="Y8" s="1"/>
      <c r="Z8" s="1"/>
    </row>
    <row r="9" spans="1:47" x14ac:dyDescent="0.2">
      <c r="A9" s="32" t="s">
        <v>0</v>
      </c>
      <c r="B9" s="32" t="s">
        <v>52</v>
      </c>
      <c r="C9" s="66" t="s">
        <v>53</v>
      </c>
      <c r="D9" s="32" t="s">
        <v>7</v>
      </c>
      <c r="E9" s="32" t="s">
        <v>16</v>
      </c>
      <c r="F9" s="32" t="s">
        <v>25</v>
      </c>
      <c r="G9" s="32" t="s">
        <v>1</v>
      </c>
      <c r="H9" s="32" t="s">
        <v>54</v>
      </c>
      <c r="I9" s="32" t="s">
        <v>55</v>
      </c>
      <c r="J9" s="32" t="s">
        <v>56</v>
      </c>
      <c r="K9" s="32" t="s">
        <v>37</v>
      </c>
      <c r="L9" s="32" t="s">
        <v>57</v>
      </c>
      <c r="M9" s="32" t="s">
        <v>58</v>
      </c>
      <c r="N9" s="32" t="s">
        <v>59</v>
      </c>
      <c r="O9" s="71" t="s">
        <v>17</v>
      </c>
      <c r="P9" s="71" t="s">
        <v>18</v>
      </c>
      <c r="Q9" s="71" t="s">
        <v>19</v>
      </c>
      <c r="R9" s="71" t="s">
        <v>20</v>
      </c>
      <c r="S9" s="71" t="s">
        <v>21</v>
      </c>
      <c r="T9" s="71" t="s">
        <v>24</v>
      </c>
      <c r="U9" s="71" t="s">
        <v>22</v>
      </c>
      <c r="V9" s="71" t="s">
        <v>23</v>
      </c>
      <c r="W9" s="68" t="s">
        <v>15</v>
      </c>
      <c r="X9" s="67" t="s">
        <v>14</v>
      </c>
      <c r="Y9" s="67" t="s">
        <v>35</v>
      </c>
    </row>
    <row r="10" spans="1:47" x14ac:dyDescent="0.2">
      <c r="A10" s="62"/>
      <c r="B10" s="62"/>
      <c r="C10" s="63"/>
      <c r="D10" s="62"/>
      <c r="E10" s="62"/>
      <c r="F10" s="62"/>
      <c r="G10" s="62"/>
      <c r="H10" s="62"/>
      <c r="I10" s="62"/>
      <c r="J10" s="65"/>
      <c r="K10" s="64"/>
      <c r="L10" s="64"/>
      <c r="M10" s="70"/>
      <c r="N10" s="62"/>
      <c r="O10" s="72"/>
      <c r="P10" s="72"/>
      <c r="Q10" s="72"/>
      <c r="R10" s="72"/>
      <c r="S10" s="72"/>
      <c r="T10" s="72"/>
      <c r="U10" s="72"/>
      <c r="V10" s="72"/>
      <c r="W10" s="63"/>
      <c r="X10" s="69"/>
      <c r="Y10" s="69"/>
    </row>
    <row r="11" spans="1:47" x14ac:dyDescent="0.2">
      <c r="A11" s="76" t="s">
        <v>60</v>
      </c>
      <c r="B11" s="76"/>
      <c r="C11" s="77"/>
      <c r="D11" s="76"/>
      <c r="E11" s="76"/>
      <c r="F11" s="76"/>
      <c r="G11" s="76"/>
      <c r="H11" s="76"/>
      <c r="I11" s="76"/>
      <c r="J11" s="76"/>
      <c r="K11" s="76"/>
      <c r="L11" s="76"/>
      <c r="M11" s="78">
        <f>SUBTOTAL(109,Table_ExternalData_2[TotalInvoiced])</f>
        <v>0</v>
      </c>
      <c r="N11" s="76"/>
      <c r="O11" s="79">
        <f>SUBTOTAL(109,Table_ExternalData_2[Current])</f>
        <v>0</v>
      </c>
      <c r="P11" s="79">
        <f>SUBTOTAL(109,Table_ExternalData_2[Aged1to30])</f>
        <v>0</v>
      </c>
      <c r="Q11" s="79">
        <f>SUBTOTAL(109,Table_ExternalData_2[Aged31to60])</f>
        <v>0</v>
      </c>
      <c r="R11" s="79">
        <f>SUBTOTAL(109,Table_ExternalData_2[Aged61to90])</f>
        <v>0</v>
      </c>
      <c r="S11" s="79">
        <f>SUBTOTAL(109,Table_ExternalData_2[AgedOver90])</f>
        <v>0</v>
      </c>
      <c r="T11" s="79">
        <f>SUBTOTAL(109,Table_ExternalData_2[TotalAged])</f>
        <v>0</v>
      </c>
      <c r="U11" s="79">
        <f>SUBTOTAL(109,Table_ExternalData_2[Retainage])</f>
        <v>0</v>
      </c>
      <c r="V11" s="79">
        <f>SUBTOTAL(109,Table_ExternalData_2[Paid])</f>
        <v>0</v>
      </c>
      <c r="W11" s="80"/>
      <c r="X11" s="81"/>
      <c r="Y11" s="81"/>
    </row>
  </sheetData>
  <sheetProtection formatCells="0" formatColumns="0" formatRows="0" insertColumns="0" insertRows="0" deleteColumns="0" deleteRows="0" selectLockedCells="1" sort="0" autoFilter="0" pivotTables="0"/>
  <mergeCells count="1">
    <mergeCell ref="C1:H1"/>
  </mergeCells>
  <pageMargins left="0.7" right="0.7" top="0.75" bottom="0.75" header="0.3" footer="0.3"/>
  <pageSetup orientation="portrait" r:id="rId1"/>
  <drawing r:id="rId2"/>
  <legacyDrawing r:id="rId3"/>
  <controls>
    <mc:AlternateContent xmlns:mc="http://schemas.openxmlformats.org/markup-compatibility/2006">
      <mc:Choice Requires="x14">
        <control shapeId="7169" r:id="rId4" name="btnRefresh">
          <controlPr locked="0" defaultSize="0" autoLine="0" r:id="rId5">
            <anchor moveWithCells="1">
              <from>
                <xdr:col>2</xdr:col>
                <xdr:colOff>28575</xdr:colOff>
                <xdr:row>0</xdr:row>
                <xdr:rowOff>28575</xdr:rowOff>
              </from>
              <to>
                <xdr:col>3</xdr:col>
                <xdr:colOff>257175</xdr:colOff>
                <xdr:row>0</xdr:row>
                <xdr:rowOff>323850</xdr:rowOff>
              </to>
            </anchor>
          </controlPr>
        </control>
      </mc:Choice>
      <mc:Fallback>
        <control shapeId="7169" r:id="rId4" name="btnRefresh"/>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op20Customer"/>
  <dimension ref="A1:G13"/>
  <sheetViews>
    <sheetView showGridLines="0" workbookViewId="0">
      <pane xSplit="1" ySplit="11" topLeftCell="B12" activePane="bottomRight" state="frozen"/>
      <selection pane="topRight" activeCell="B1" sqref="B1"/>
      <selection pane="bottomLeft" activeCell="A12" sqref="A12"/>
      <selection pane="bottomRight" activeCell="B12" sqref="B12"/>
    </sheetView>
  </sheetViews>
  <sheetFormatPr defaultRowHeight="12" x14ac:dyDescent="0.2"/>
  <cols>
    <col min="1" max="1" width="54.6640625" customWidth="1"/>
    <col min="2" max="7" width="26.6640625" customWidth="1"/>
    <col min="8" max="8" width="16.1640625" customWidth="1"/>
  </cols>
  <sheetData>
    <row r="1" spans="1:7" ht="26.25" x14ac:dyDescent="0.4">
      <c r="B1" s="102" t="str">
        <f>Overview!C3</f>
        <v>Accounts Receivable Collections Worksheet</v>
      </c>
      <c r="C1" s="102"/>
      <c r="D1" s="102"/>
      <c r="E1" s="102"/>
      <c r="F1" s="102"/>
      <c r="G1" s="102"/>
    </row>
    <row r="2" spans="1:7" ht="12.75" thickBot="1" x14ac:dyDescent="0.25">
      <c r="B2" s="1"/>
      <c r="C2" s="1"/>
      <c r="D2" s="1"/>
      <c r="E2" s="1"/>
      <c r="F2" s="51" t="s">
        <v>36</v>
      </c>
      <c r="G2" s="36">
        <f>MIN(Table_ExternalData_2[AsOfDate])</f>
        <v>0</v>
      </c>
    </row>
    <row r="3" spans="1:7" x14ac:dyDescent="0.2">
      <c r="B3" s="27" t="s">
        <v>12</v>
      </c>
      <c r="C3" s="27" t="s">
        <v>9</v>
      </c>
      <c r="D3" s="27" t="s">
        <v>2</v>
      </c>
      <c r="E3" s="27" t="s">
        <v>10</v>
      </c>
      <c r="F3" s="50" t="s">
        <v>3</v>
      </c>
      <c r="G3" s="27" t="s">
        <v>11</v>
      </c>
    </row>
    <row r="4" spans="1:7" ht="12.75" x14ac:dyDescent="0.2">
      <c r="B4" s="45">
        <f ca="1">IF(paramShapshotMonth=0,"",paramShapshotMonth)</f>
        <v>42309</v>
      </c>
      <c r="C4" s="28" t="str">
        <f>IF(paramCompany=0,"",paramCompany)</f>
        <v/>
      </c>
      <c r="D4" s="28" t="str">
        <f>IF(paramCustomer=0,"",paramCustomer)</f>
        <v/>
      </c>
      <c r="E4" s="28" t="str">
        <f>IF(paramContract=0,"",paramContract)</f>
        <v/>
      </c>
      <c r="F4" s="28" t="str">
        <f>IF(paramInvoice=0,"",paramInvoice)</f>
        <v/>
      </c>
      <c r="G4" s="28" t="str">
        <f>IF(paramDepartment=0,"",paramDepartment)</f>
        <v/>
      </c>
    </row>
    <row r="8" spans="1:7" x14ac:dyDescent="0.2">
      <c r="A8" s="60" t="s">
        <v>0</v>
      </c>
      <c r="B8" s="34" t="s">
        <v>6</v>
      </c>
    </row>
    <row r="9" spans="1:7" x14ac:dyDescent="0.2">
      <c r="A9" s="60" t="s">
        <v>7</v>
      </c>
      <c r="B9" s="34" t="s">
        <v>6</v>
      </c>
    </row>
    <row r="11" spans="1:7" x14ac:dyDescent="0.2">
      <c r="A11" s="35" t="s">
        <v>1</v>
      </c>
      <c r="B11" s="35" t="s">
        <v>30</v>
      </c>
      <c r="C11" s="35" t="s">
        <v>38</v>
      </c>
      <c r="D11" s="35" t="s">
        <v>32</v>
      </c>
      <c r="E11" s="35" t="s">
        <v>33</v>
      </c>
      <c r="F11" s="35" t="s">
        <v>34</v>
      </c>
      <c r="G11" s="35" t="s">
        <v>5</v>
      </c>
    </row>
    <row r="12" spans="1:7" x14ac:dyDescent="0.2">
      <c r="A12" s="34" t="s">
        <v>28</v>
      </c>
      <c r="B12" s="74">
        <v>0</v>
      </c>
      <c r="C12" s="74">
        <v>0</v>
      </c>
      <c r="D12" s="74">
        <v>0</v>
      </c>
      <c r="E12" s="74">
        <v>0</v>
      </c>
      <c r="F12" s="74">
        <v>0</v>
      </c>
      <c r="G12" s="74">
        <v>0</v>
      </c>
    </row>
    <row r="13" spans="1:7" x14ac:dyDescent="0.2">
      <c r="A13" s="35" t="s">
        <v>29</v>
      </c>
      <c r="B13" s="73">
        <v>0</v>
      </c>
      <c r="C13" s="73">
        <v>0</v>
      </c>
      <c r="D13" s="73">
        <v>0</v>
      </c>
      <c r="E13" s="73">
        <v>0</v>
      </c>
      <c r="F13" s="73">
        <v>0</v>
      </c>
      <c r="G13" s="73">
        <v>0</v>
      </c>
    </row>
  </sheetData>
  <mergeCells count="1">
    <mergeCell ref="B1:G1"/>
  </mergeCells>
  <conditionalFormatting pivot="1">
    <cfRule type="top10" dxfId="129" priority="4" rank="20"/>
  </conditionalFormatting>
  <conditionalFormatting pivot="1">
    <cfRule type="top10" dxfId="128" priority="3" rank="20"/>
  </conditionalFormatting>
  <conditionalFormatting pivot="1">
    <cfRule type="top10" dxfId="127" priority="2" rank="20"/>
  </conditionalFormatting>
  <conditionalFormatting pivot="1" sqref="G12:G13">
    <cfRule type="top10" dxfId="126" priority="1" rank="20"/>
  </conditionalFormatting>
  <pageMargins left="0.7" right="0.7" top="0.75" bottom="0.75" header="0.3" footer="0.3"/>
  <drawing r:id="rId2"/>
  <legacyDrawing r:id="rId3"/>
  <controls>
    <mc:AlternateContent xmlns:mc="http://schemas.openxmlformats.org/markup-compatibility/2006">
      <mc:Choice Requires="x14">
        <control shapeId="8194" r:id="rId4" name="btnRefresh">
          <controlPr locked="0" defaultSize="0" autoLine="0" r:id="rId5">
            <anchor moveWithCells="1">
              <from>
                <xdr:col>1</xdr:col>
                <xdr:colOff>28575</xdr:colOff>
                <xdr:row>0</xdr:row>
                <xdr:rowOff>28575</xdr:rowOff>
              </from>
              <to>
                <xdr:col>1</xdr:col>
                <xdr:colOff>1047750</xdr:colOff>
                <xdr:row>0</xdr:row>
                <xdr:rowOff>323850</xdr:rowOff>
              </to>
            </anchor>
          </controlPr>
        </control>
      </mc:Choice>
      <mc:Fallback>
        <control shapeId="8194" r:id="rId4" name="btnRefresh"/>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op20Dept"/>
  <dimension ref="A1:G13"/>
  <sheetViews>
    <sheetView showGridLines="0" workbookViewId="0">
      <pane xSplit="1" ySplit="11" topLeftCell="B12" activePane="bottomRight" state="frozen"/>
      <selection activeCell="B47" sqref="B47"/>
      <selection pane="topRight" activeCell="B47" sqref="B47"/>
      <selection pane="bottomLeft" activeCell="B47" sqref="B47"/>
      <selection pane="bottomRight" activeCell="B12" sqref="B12"/>
    </sheetView>
  </sheetViews>
  <sheetFormatPr defaultRowHeight="12" x14ac:dyDescent="0.2"/>
  <cols>
    <col min="1" max="1" width="54.6640625" customWidth="1"/>
    <col min="2" max="7" width="26.6640625" customWidth="1"/>
    <col min="8" max="8" width="16.1640625" customWidth="1"/>
  </cols>
  <sheetData>
    <row r="1" spans="1:7" ht="26.25" x14ac:dyDescent="0.4">
      <c r="B1" s="102" t="str">
        <f>Overview!C3</f>
        <v>Accounts Receivable Collections Worksheet</v>
      </c>
      <c r="C1" s="102"/>
      <c r="D1" s="102"/>
      <c r="E1" s="102"/>
      <c r="F1" s="102"/>
      <c r="G1" s="102"/>
    </row>
    <row r="2" spans="1:7" ht="12.75" thickBot="1" x14ac:dyDescent="0.25">
      <c r="B2" s="1"/>
      <c r="C2" s="1"/>
      <c r="D2" s="1"/>
      <c r="E2" s="1"/>
      <c r="F2" s="51" t="s">
        <v>36</v>
      </c>
      <c r="G2" s="36">
        <f>MIN(Table_ExternalData_2[AsOfDate])</f>
        <v>0</v>
      </c>
    </row>
    <row r="3" spans="1:7" x14ac:dyDescent="0.2">
      <c r="B3" s="27" t="s">
        <v>12</v>
      </c>
      <c r="C3" s="27" t="s">
        <v>9</v>
      </c>
      <c r="D3" s="27" t="s">
        <v>2</v>
      </c>
      <c r="E3" s="27" t="s">
        <v>10</v>
      </c>
      <c r="F3" s="50" t="s">
        <v>3</v>
      </c>
      <c r="G3" s="27" t="s">
        <v>11</v>
      </c>
    </row>
    <row r="4" spans="1:7" ht="12.75" x14ac:dyDescent="0.2">
      <c r="B4" s="45">
        <f ca="1">IF(paramShapshotMonth=0,"",paramShapshotMonth)</f>
        <v>42309</v>
      </c>
      <c r="C4" s="28" t="str">
        <f>IF(paramCompany=0,"",paramCompany)</f>
        <v/>
      </c>
      <c r="D4" s="28" t="str">
        <f>IF(paramCustomer=0,"",paramCustomer)</f>
        <v/>
      </c>
      <c r="E4" s="28" t="str">
        <f>IF(paramContract=0,"",paramContract)</f>
        <v/>
      </c>
      <c r="F4" s="28" t="str">
        <f>IF(paramInvoice=0,"",paramInvoice)</f>
        <v/>
      </c>
      <c r="G4" s="28" t="str">
        <f>IF(paramDepartment=0,"",paramDepartment)</f>
        <v/>
      </c>
    </row>
    <row r="8" spans="1:7" x14ac:dyDescent="0.2">
      <c r="A8" s="60" t="s">
        <v>0</v>
      </c>
      <c r="B8" s="34" t="s">
        <v>6</v>
      </c>
    </row>
    <row r="9" spans="1:7" x14ac:dyDescent="0.2">
      <c r="A9" s="60" t="s">
        <v>7</v>
      </c>
      <c r="B9" s="34" t="s">
        <v>6</v>
      </c>
    </row>
    <row r="11" spans="1:7" x14ac:dyDescent="0.2">
      <c r="A11" s="60" t="s">
        <v>53</v>
      </c>
      <c r="B11" s="35" t="s">
        <v>30</v>
      </c>
      <c r="C11" s="35" t="s">
        <v>31</v>
      </c>
      <c r="D11" s="35" t="s">
        <v>32</v>
      </c>
      <c r="E11" s="35" t="s">
        <v>33</v>
      </c>
      <c r="F11" s="35" t="s">
        <v>34</v>
      </c>
      <c r="G11" s="35" t="s">
        <v>5</v>
      </c>
    </row>
    <row r="12" spans="1:7" x14ac:dyDescent="0.2">
      <c r="A12" s="34" t="s">
        <v>28</v>
      </c>
      <c r="B12" s="75">
        <v>0</v>
      </c>
      <c r="C12" s="75">
        <v>0</v>
      </c>
      <c r="D12" s="75">
        <v>0</v>
      </c>
      <c r="E12" s="75">
        <v>0</v>
      </c>
      <c r="F12" s="75">
        <v>0</v>
      </c>
      <c r="G12" s="75">
        <v>0</v>
      </c>
    </row>
    <row r="13" spans="1:7" x14ac:dyDescent="0.2">
      <c r="A13" s="35" t="s">
        <v>29</v>
      </c>
      <c r="B13" s="73">
        <v>0</v>
      </c>
      <c r="C13" s="73">
        <v>0</v>
      </c>
      <c r="D13" s="73">
        <v>0</v>
      </c>
      <c r="E13" s="73">
        <v>0</v>
      </c>
      <c r="F13" s="73">
        <v>0</v>
      </c>
      <c r="G13" s="73">
        <v>0</v>
      </c>
    </row>
  </sheetData>
  <mergeCells count="1">
    <mergeCell ref="B1:G1"/>
  </mergeCells>
  <pageMargins left="0.7" right="0.7" top="0.75" bottom="0.75" header="0.3" footer="0.3"/>
  <drawing r:id="rId2"/>
  <legacyDrawing r:id="rId3"/>
  <controls>
    <mc:AlternateContent xmlns:mc="http://schemas.openxmlformats.org/markup-compatibility/2006">
      <mc:Choice Requires="x14">
        <control shapeId="10241" r:id="rId4" name="btnRefresh">
          <controlPr locked="0" defaultSize="0" autoLine="0" r:id="rId5">
            <anchor moveWithCells="1">
              <from>
                <xdr:col>1</xdr:col>
                <xdr:colOff>28575</xdr:colOff>
                <xdr:row>0</xdr:row>
                <xdr:rowOff>28575</xdr:rowOff>
              </from>
              <to>
                <xdr:col>1</xdr:col>
                <xdr:colOff>1047750</xdr:colOff>
                <xdr:row>0</xdr:row>
                <xdr:rowOff>323850</xdr:rowOff>
              </to>
            </anchor>
          </controlPr>
        </control>
      </mc:Choice>
      <mc:Fallback>
        <control shapeId="10241" r:id="rId4" name="btnRefresh"/>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op20POC"/>
  <dimension ref="A1:G13"/>
  <sheetViews>
    <sheetView showGridLines="0" workbookViewId="0">
      <pane xSplit="1" ySplit="11" topLeftCell="B12" activePane="bottomRight" state="frozen"/>
      <selection activeCell="B47" sqref="B47"/>
      <selection pane="topRight" activeCell="B47" sqref="B47"/>
      <selection pane="bottomLeft" activeCell="B47" sqref="B47"/>
      <selection pane="bottomRight" activeCell="B12" sqref="B12"/>
    </sheetView>
  </sheetViews>
  <sheetFormatPr defaultRowHeight="12" x14ac:dyDescent="0.2"/>
  <cols>
    <col min="1" max="1" width="54.6640625" customWidth="1"/>
    <col min="2" max="7" width="26.6640625" customWidth="1"/>
    <col min="8" max="8" width="16.1640625" customWidth="1"/>
  </cols>
  <sheetData>
    <row r="1" spans="1:7" ht="26.25" x14ac:dyDescent="0.4">
      <c r="B1" s="102" t="str">
        <f>Overview!C3</f>
        <v>Accounts Receivable Collections Worksheet</v>
      </c>
      <c r="C1" s="102"/>
      <c r="D1" s="102"/>
      <c r="E1" s="102"/>
      <c r="F1" s="102"/>
      <c r="G1" s="102"/>
    </row>
    <row r="2" spans="1:7" ht="12.75" thickBot="1" x14ac:dyDescent="0.25">
      <c r="B2" s="1"/>
      <c r="C2" s="1"/>
      <c r="D2" s="1"/>
      <c r="E2" s="1"/>
      <c r="F2" s="51" t="s">
        <v>36</v>
      </c>
      <c r="G2" s="36">
        <f>MIN(Table_ExternalData_2[AsOfDate])</f>
        <v>0</v>
      </c>
    </row>
    <row r="3" spans="1:7" x14ac:dyDescent="0.2">
      <c r="B3" s="27" t="s">
        <v>12</v>
      </c>
      <c r="C3" s="27" t="s">
        <v>9</v>
      </c>
      <c r="D3" s="27" t="s">
        <v>2</v>
      </c>
      <c r="E3" s="27" t="s">
        <v>10</v>
      </c>
      <c r="F3" s="50" t="s">
        <v>3</v>
      </c>
      <c r="G3" s="27" t="s">
        <v>11</v>
      </c>
    </row>
    <row r="4" spans="1:7" ht="12.75" x14ac:dyDescent="0.2">
      <c r="B4" s="45">
        <f ca="1">IF(paramShapshotMonth=0,"",paramShapshotMonth)</f>
        <v>42309</v>
      </c>
      <c r="C4" s="28" t="str">
        <f>IF(paramCompany=0,"",paramCompany)</f>
        <v/>
      </c>
      <c r="D4" s="28" t="str">
        <f>IF(paramCustomer=0,"",paramCustomer)</f>
        <v/>
      </c>
      <c r="E4" s="28" t="str">
        <f>IF(paramContract=0,"",paramContract)</f>
        <v/>
      </c>
      <c r="F4" s="28" t="str">
        <f>IF(paramInvoice=0,"",paramInvoice)</f>
        <v/>
      </c>
      <c r="G4" s="28" t="str">
        <f>IF(paramDepartment=0,"",paramDepartment)</f>
        <v/>
      </c>
    </row>
    <row r="9" spans="1:7" x14ac:dyDescent="0.2">
      <c r="A9" s="60" t="s">
        <v>0</v>
      </c>
      <c r="B9" s="34" t="s">
        <v>6</v>
      </c>
    </row>
    <row r="11" spans="1:7" x14ac:dyDescent="0.2">
      <c r="A11" s="35" t="s">
        <v>7</v>
      </c>
      <c r="B11" s="35" t="s">
        <v>30</v>
      </c>
      <c r="C11" s="35" t="s">
        <v>31</v>
      </c>
      <c r="D11" s="35" t="s">
        <v>32</v>
      </c>
      <c r="E11" s="35" t="s">
        <v>33</v>
      </c>
      <c r="F11" s="35" t="s">
        <v>34</v>
      </c>
      <c r="G11" s="35" t="s">
        <v>5</v>
      </c>
    </row>
    <row r="12" spans="1:7" x14ac:dyDescent="0.2">
      <c r="A12" s="34" t="s">
        <v>28</v>
      </c>
      <c r="B12" s="74">
        <v>0</v>
      </c>
      <c r="C12" s="74">
        <v>0</v>
      </c>
      <c r="D12" s="74">
        <v>0</v>
      </c>
      <c r="E12" s="74">
        <v>0</v>
      </c>
      <c r="F12" s="74">
        <v>0</v>
      </c>
      <c r="G12" s="74">
        <v>0</v>
      </c>
    </row>
    <row r="13" spans="1:7" x14ac:dyDescent="0.2">
      <c r="A13" s="35" t="s">
        <v>29</v>
      </c>
      <c r="B13" s="73">
        <v>0</v>
      </c>
      <c r="C13" s="73">
        <v>0</v>
      </c>
      <c r="D13" s="73">
        <v>0</v>
      </c>
      <c r="E13" s="73">
        <v>0</v>
      </c>
      <c r="F13" s="73">
        <v>0</v>
      </c>
      <c r="G13" s="73">
        <v>0</v>
      </c>
    </row>
  </sheetData>
  <mergeCells count="1">
    <mergeCell ref="B1:G1"/>
  </mergeCells>
  <conditionalFormatting pivot="1">
    <cfRule type="top10" dxfId="125" priority="2" rank="20"/>
  </conditionalFormatting>
  <conditionalFormatting pivot="1">
    <cfRule type="top10" dxfId="124" priority="1" rank="20"/>
  </conditionalFormatting>
  <pageMargins left="0.7" right="0.7" top="0.75" bottom="0.75" header="0.3" footer="0.3"/>
  <drawing r:id="rId2"/>
  <legacyDrawing r:id="rId3"/>
  <controls>
    <mc:AlternateContent xmlns:mc="http://schemas.openxmlformats.org/markup-compatibility/2006">
      <mc:Choice Requires="x14">
        <control shapeId="9217" r:id="rId4" name="btnRefresh">
          <controlPr locked="0" defaultSize="0" autoLine="0" r:id="rId5">
            <anchor moveWithCells="1">
              <from>
                <xdr:col>1</xdr:col>
                <xdr:colOff>28575</xdr:colOff>
                <xdr:row>0</xdr:row>
                <xdr:rowOff>28575</xdr:rowOff>
              </from>
              <to>
                <xdr:col>1</xdr:col>
                <xdr:colOff>1047750</xdr:colOff>
                <xdr:row>0</xdr:row>
                <xdr:rowOff>323850</xdr:rowOff>
              </to>
            </anchor>
          </controlPr>
        </control>
      </mc:Choice>
      <mc:Fallback>
        <control shapeId="9217" r:id="rId4" name="btnRefresh"/>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infoPathSolution solutionVersion="1.0.0.1" productVersion="15.0.0" PIVersion="1.0.0.0" href="file:///C:\TFS\ViewPoint\AdHocRoutines\AR\ARAging\ARAging.xsn" name="urn:schemas-microsoft-com:office:infopath:ARAging:-myXSD-2015-08-06T20-53-55" ?>
<?mso-application progid="InfoPath.Document" versionProgid="InfoPath.Document.4"?>
<my:myFields xmlns:my="http://schemas.microsoft.com/office/infopath/2003/myXSD/2015-08-06T20:53:55"/>
</file>

<file path=customXml/item2.xml><?xml version="1.0" encoding="utf-8"?>
<tns:customPropertyEditors xmlns:tns="http://schemas.microsoft.com/office/2006/customDocumentInformationPanel">
  <tns:showOnOpen>false</tns:showOnOpen>
  <tns:defaultPropertyEditorNamespace>Standard properties</tns:defaultPropertyEditorNamespace>
</tns:customPropertyEditors>
</file>

<file path=customXml/itemProps1.xml><?xml version="1.0" encoding="utf-8"?>
<ds:datastoreItem xmlns:ds="http://schemas.openxmlformats.org/officeDocument/2006/customXml" ds:itemID="{C509C0ED-D522-4FA1-9C70-CDF0EE799E3A}">
  <ds:schemaRefs>
    <ds:schemaRef ds:uri="http://schemas.microsoft.com/office/infopath/2003/myXSD/2015-08-06T20:53:55"/>
  </ds:schemaRefs>
</ds:datastoreItem>
</file>

<file path=customXml/itemProps2.xml><?xml version="1.0" encoding="utf-8"?>
<ds:datastoreItem xmlns:ds="http://schemas.openxmlformats.org/officeDocument/2006/customXml" ds:itemID="{4D113649-DC07-44E9-A917-89F7798F9518}">
  <ds:schemaRefs>
    <ds:schemaRef ds:uri="http://schemas.microsoft.com/office/2006/customDocumentInformationPan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Overview</vt:lpstr>
      <vt:lpstr>AR Collections</vt:lpstr>
      <vt:lpstr>Top20Customer</vt:lpstr>
      <vt:lpstr>Top20Dept</vt:lpstr>
      <vt:lpstr>Top20POC</vt:lpstr>
      <vt:lpstr>paramCompany</vt:lpstr>
      <vt:lpstr>paramContract</vt:lpstr>
      <vt:lpstr>paramCustomer</vt:lpstr>
      <vt:lpstr>paramDepartment</vt:lpstr>
      <vt:lpstr>paramInvoice</vt:lpstr>
      <vt:lpstr>paramShapshotMonth</vt:lpstr>
      <vt:lpstr>tblARCollectionsSummary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 Orebaugh</dc:creator>
  <cp:lastModifiedBy>Bill Orebaugh</cp:lastModifiedBy>
  <dcterms:created xsi:type="dcterms:W3CDTF">2015-08-04T21:22:15Z</dcterms:created>
  <dcterms:modified xsi:type="dcterms:W3CDTF">2015-11-03T16:24:40Z</dcterms:modified>
</cp:coreProperties>
</file>